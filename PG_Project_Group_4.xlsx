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A2170CC1-A4ED-446C-A3E7-6FF177A3170B}" xr6:coauthVersionLast="47" xr6:coauthVersionMax="47" xr10:uidLastSave="{00000000-0000-0000-0000-000000000000}"/>
  <bookViews>
    <workbookView xWindow="-110" yWindow="-110" windowWidth="19420" windowHeight="11020" tabRatio="500" firstSheet="3" activeTab="4" xr2:uid="{00000000-000D-0000-FFFF-FFFF00000000}"/>
  </bookViews>
  <sheets>
    <sheet name="PG DAILY DATA" sheetId="1" r:id="rId1"/>
    <sheet name="PG MONTHLY DATA" sheetId="2" r:id="rId2"/>
    <sheet name="QUESTIONS 8-10" sheetId="3" r:id="rId3"/>
    <sheet name="CAPM Regression Output" sheetId="4" r:id="rId4"/>
    <sheet name="FF3 Regression Outpu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3" l="1"/>
  <c r="H2" i="2"/>
  <c r="N8" i="2"/>
  <c r="N4" i="2"/>
  <c r="K2" i="2"/>
  <c r="L11" i="3"/>
  <c r="N19" i="2"/>
  <c r="G8" i="2"/>
  <c r="I120" i="2"/>
  <c r="I121" i="2"/>
  <c r="I122" i="2"/>
  <c r="I123" i="2"/>
  <c r="I124" i="2"/>
  <c r="I125" i="2"/>
  <c r="I126" i="2"/>
  <c r="D126" i="3" s="1"/>
  <c r="I127" i="2"/>
  <c r="D127" i="3" s="1"/>
  <c r="I128" i="2"/>
  <c r="I129" i="2"/>
  <c r="I130" i="2"/>
  <c r="I131" i="2"/>
  <c r="I132" i="2"/>
  <c r="I133" i="2"/>
  <c r="I134" i="2"/>
  <c r="D134" i="3" s="1"/>
  <c r="I135" i="2"/>
  <c r="D135" i="3" s="1"/>
  <c r="I136" i="2"/>
  <c r="I137" i="2"/>
  <c r="I138" i="2"/>
  <c r="I139" i="2"/>
  <c r="I140" i="2"/>
  <c r="I141" i="2"/>
  <c r="I142" i="2"/>
  <c r="D142" i="3" s="1"/>
  <c r="I143" i="2"/>
  <c r="D143" i="3" s="1"/>
  <c r="I144" i="2"/>
  <c r="I145" i="2"/>
  <c r="I2" i="2"/>
  <c r="I3" i="2"/>
  <c r="I4" i="2"/>
  <c r="I5" i="2"/>
  <c r="I6" i="2"/>
  <c r="I7" i="2"/>
  <c r="D7" i="3" s="1"/>
  <c r="I8" i="2"/>
  <c r="I9" i="2"/>
  <c r="D9" i="3" s="1"/>
  <c r="I10" i="2"/>
  <c r="I11" i="2"/>
  <c r="I12" i="2"/>
  <c r="I13" i="2"/>
  <c r="I14" i="2"/>
  <c r="D14" i="3" s="1"/>
  <c r="I15" i="2"/>
  <c r="D15" i="3" s="1"/>
  <c r="I16" i="2"/>
  <c r="I17" i="2"/>
  <c r="D17" i="3" s="1"/>
  <c r="I18" i="2"/>
  <c r="I19" i="2"/>
  <c r="I20" i="2"/>
  <c r="I21" i="2"/>
  <c r="I22" i="2"/>
  <c r="D22" i="3" s="1"/>
  <c r="I23" i="2"/>
  <c r="I24" i="2"/>
  <c r="D24" i="3" s="1"/>
  <c r="I25" i="2"/>
  <c r="I26" i="2"/>
  <c r="I27" i="2"/>
  <c r="I28" i="2"/>
  <c r="I29" i="2"/>
  <c r="I30" i="2"/>
  <c r="D30" i="3" s="1"/>
  <c r="I31" i="2"/>
  <c r="D31" i="3" s="1"/>
  <c r="I32" i="2"/>
  <c r="D32" i="3" s="1"/>
  <c r="I33" i="2"/>
  <c r="D33" i="3" s="1"/>
  <c r="I34" i="2"/>
  <c r="I35" i="2"/>
  <c r="I36" i="2"/>
  <c r="I37" i="2"/>
  <c r="I38" i="2"/>
  <c r="D38" i="3" s="1"/>
  <c r="I39" i="2"/>
  <c r="I40" i="2"/>
  <c r="D40" i="3" s="1"/>
  <c r="I41" i="2"/>
  <c r="D41" i="3" s="1"/>
  <c r="I42" i="2"/>
  <c r="I43" i="2"/>
  <c r="I44" i="2"/>
  <c r="I45" i="2"/>
  <c r="I46" i="2"/>
  <c r="D46" i="3" s="1"/>
  <c r="I47" i="2"/>
  <c r="D47" i="3" s="1"/>
  <c r="I48" i="2"/>
  <c r="D48" i="3" s="1"/>
  <c r="I49" i="2"/>
  <c r="D49" i="3" s="1"/>
  <c r="I50" i="2"/>
  <c r="I51" i="2"/>
  <c r="I52" i="2"/>
  <c r="I53" i="2"/>
  <c r="I54" i="2"/>
  <c r="I55" i="2"/>
  <c r="D55" i="3" s="1"/>
  <c r="I56" i="2"/>
  <c r="D56" i="3" s="1"/>
  <c r="I57" i="2"/>
  <c r="D57" i="3" s="1"/>
  <c r="I58" i="2"/>
  <c r="I59" i="2"/>
  <c r="I60" i="2"/>
  <c r="I61" i="2"/>
  <c r="I62" i="2"/>
  <c r="D62" i="3" s="1"/>
  <c r="I63" i="2"/>
  <c r="D63" i="3" s="1"/>
  <c r="I64" i="2"/>
  <c r="D64" i="3" s="1"/>
  <c r="I65" i="2"/>
  <c r="D65" i="3" s="1"/>
  <c r="I66" i="2"/>
  <c r="I67" i="2"/>
  <c r="I68" i="2"/>
  <c r="I69" i="2"/>
  <c r="I70" i="2"/>
  <c r="D70" i="3" s="1"/>
  <c r="I71" i="2"/>
  <c r="D71" i="3" s="1"/>
  <c r="I72" i="2"/>
  <c r="D72" i="3" s="1"/>
  <c r="I73" i="2"/>
  <c r="D73" i="3" s="1"/>
  <c r="I74" i="2"/>
  <c r="I75" i="2"/>
  <c r="I76" i="2"/>
  <c r="I77" i="2"/>
  <c r="I78" i="2"/>
  <c r="D78" i="3" s="1"/>
  <c r="I79" i="2"/>
  <c r="D79" i="3" s="1"/>
  <c r="I80" i="2"/>
  <c r="D80" i="3" s="1"/>
  <c r="I81" i="2"/>
  <c r="D81" i="3" s="1"/>
  <c r="I82" i="2"/>
  <c r="I83" i="2"/>
  <c r="I84" i="2"/>
  <c r="I85" i="2"/>
  <c r="I86" i="2"/>
  <c r="D86" i="3" s="1"/>
  <c r="I87" i="2"/>
  <c r="D87" i="3" s="1"/>
  <c r="I88" i="2"/>
  <c r="D88" i="3" s="1"/>
  <c r="I89" i="2"/>
  <c r="D89" i="3" s="1"/>
  <c r="I90" i="2"/>
  <c r="I91" i="2"/>
  <c r="I92" i="2"/>
  <c r="I93" i="2"/>
  <c r="I94" i="2"/>
  <c r="D94" i="3" s="1"/>
  <c r="I95" i="2"/>
  <c r="D95" i="3" s="1"/>
  <c r="I96" i="2"/>
  <c r="D96" i="3" s="1"/>
  <c r="I97" i="2"/>
  <c r="D97" i="3" s="1"/>
  <c r="I98" i="2"/>
  <c r="I99" i="2"/>
  <c r="I100" i="2"/>
  <c r="I101" i="2"/>
  <c r="I102" i="2"/>
  <c r="D102" i="3" s="1"/>
  <c r="I103" i="2"/>
  <c r="D103" i="3" s="1"/>
  <c r="I104" i="2"/>
  <c r="D104" i="3" s="1"/>
  <c r="I105" i="2"/>
  <c r="D105" i="3" s="1"/>
  <c r="I106" i="2"/>
  <c r="I107" i="2"/>
  <c r="I108" i="2"/>
  <c r="I109" i="2"/>
  <c r="I110" i="2"/>
  <c r="D110" i="3" s="1"/>
  <c r="I111" i="2"/>
  <c r="D111" i="3" s="1"/>
  <c r="I112" i="2"/>
  <c r="D112" i="3" s="1"/>
  <c r="I113" i="2"/>
  <c r="D113" i="3" s="1"/>
  <c r="I114" i="2"/>
  <c r="I115" i="2"/>
  <c r="I116" i="2"/>
  <c r="I117" i="2"/>
  <c r="I118" i="2"/>
  <c r="D118" i="3" s="1"/>
  <c r="I119" i="2"/>
  <c r="D119" i="3" s="1"/>
  <c r="G2" i="2"/>
  <c r="L22" i="3"/>
  <c r="N17" i="3"/>
  <c r="P29" i="2"/>
  <c r="P24" i="2"/>
  <c r="N25" i="2"/>
  <c r="H145" i="3"/>
  <c r="I145" i="3" s="1"/>
  <c r="F145" i="3"/>
  <c r="G145" i="3" s="1"/>
  <c r="A145" i="3"/>
  <c r="H144" i="3"/>
  <c r="I144" i="3" s="1"/>
  <c r="F144" i="3"/>
  <c r="G144" i="3" s="1"/>
  <c r="A144" i="3"/>
  <c r="H143" i="3"/>
  <c r="I143" i="3" s="1"/>
  <c r="F143" i="3"/>
  <c r="G143" i="3" s="1"/>
  <c r="A143" i="3"/>
  <c r="H142" i="3"/>
  <c r="I142" i="3" s="1"/>
  <c r="F142" i="3"/>
  <c r="G142" i="3" s="1"/>
  <c r="A142" i="3"/>
  <c r="H141" i="3"/>
  <c r="I141" i="3" s="1"/>
  <c r="F141" i="3"/>
  <c r="G141" i="3" s="1"/>
  <c r="A141" i="3"/>
  <c r="H140" i="3"/>
  <c r="I140" i="3" s="1"/>
  <c r="F140" i="3"/>
  <c r="G140" i="3" s="1"/>
  <c r="A140" i="3"/>
  <c r="H139" i="3"/>
  <c r="I139" i="3" s="1"/>
  <c r="F139" i="3"/>
  <c r="G139" i="3" s="1"/>
  <c r="A139" i="3"/>
  <c r="H138" i="3"/>
  <c r="I138" i="3" s="1"/>
  <c r="F138" i="3"/>
  <c r="G138" i="3" s="1"/>
  <c r="A138" i="3"/>
  <c r="H137" i="3"/>
  <c r="I137" i="3" s="1"/>
  <c r="F137" i="3"/>
  <c r="G137" i="3" s="1"/>
  <c r="A137" i="3"/>
  <c r="H136" i="3"/>
  <c r="I136" i="3" s="1"/>
  <c r="F136" i="3"/>
  <c r="G136" i="3" s="1"/>
  <c r="A136" i="3"/>
  <c r="H135" i="3"/>
  <c r="I135" i="3" s="1"/>
  <c r="F135" i="3"/>
  <c r="G135" i="3" s="1"/>
  <c r="A135" i="3"/>
  <c r="H134" i="3"/>
  <c r="I134" i="3" s="1"/>
  <c r="F134" i="3"/>
  <c r="G134" i="3" s="1"/>
  <c r="A134" i="3"/>
  <c r="H133" i="3"/>
  <c r="I133" i="3" s="1"/>
  <c r="F133" i="3"/>
  <c r="G133" i="3" s="1"/>
  <c r="A133" i="3"/>
  <c r="H132" i="3"/>
  <c r="I132" i="3" s="1"/>
  <c r="F132" i="3"/>
  <c r="G132" i="3" s="1"/>
  <c r="A132" i="3"/>
  <c r="H131" i="3"/>
  <c r="I131" i="3" s="1"/>
  <c r="F131" i="3"/>
  <c r="G131" i="3" s="1"/>
  <c r="A131" i="3"/>
  <c r="H130" i="3"/>
  <c r="I130" i="3" s="1"/>
  <c r="F130" i="3"/>
  <c r="G130" i="3" s="1"/>
  <c r="A130" i="3"/>
  <c r="H129" i="3"/>
  <c r="I129" i="3" s="1"/>
  <c r="F129" i="3"/>
  <c r="G129" i="3" s="1"/>
  <c r="A129" i="3"/>
  <c r="H128" i="3"/>
  <c r="I128" i="3" s="1"/>
  <c r="F128" i="3"/>
  <c r="G128" i="3" s="1"/>
  <c r="A128" i="3"/>
  <c r="H127" i="3"/>
  <c r="I127" i="3" s="1"/>
  <c r="F127" i="3"/>
  <c r="G127" i="3" s="1"/>
  <c r="A127" i="3"/>
  <c r="H126" i="3"/>
  <c r="I126" i="3" s="1"/>
  <c r="F126" i="3"/>
  <c r="G126" i="3" s="1"/>
  <c r="A126" i="3"/>
  <c r="H125" i="3"/>
  <c r="I125" i="3" s="1"/>
  <c r="F125" i="3"/>
  <c r="G125" i="3" s="1"/>
  <c r="A125" i="3"/>
  <c r="H124" i="3"/>
  <c r="I124" i="3" s="1"/>
  <c r="F124" i="3"/>
  <c r="G124" i="3" s="1"/>
  <c r="A124" i="3"/>
  <c r="H123" i="3"/>
  <c r="I123" i="3" s="1"/>
  <c r="F123" i="3"/>
  <c r="G123" i="3" s="1"/>
  <c r="A123" i="3"/>
  <c r="H122" i="3"/>
  <c r="I122" i="3" s="1"/>
  <c r="F122" i="3"/>
  <c r="G122" i="3" s="1"/>
  <c r="A122" i="3"/>
  <c r="H121" i="3"/>
  <c r="I121" i="3" s="1"/>
  <c r="F121" i="3"/>
  <c r="G121" i="3" s="1"/>
  <c r="A121" i="3"/>
  <c r="H120" i="3"/>
  <c r="I120" i="3" s="1"/>
  <c r="F120" i="3"/>
  <c r="G120" i="3" s="1"/>
  <c r="A120" i="3"/>
  <c r="H119" i="3"/>
  <c r="I119" i="3" s="1"/>
  <c r="F119" i="3"/>
  <c r="G119" i="3" s="1"/>
  <c r="A119" i="3"/>
  <c r="H118" i="3"/>
  <c r="I118" i="3" s="1"/>
  <c r="F118" i="3"/>
  <c r="G118" i="3" s="1"/>
  <c r="A118" i="3"/>
  <c r="H117" i="3"/>
  <c r="I117" i="3" s="1"/>
  <c r="F117" i="3"/>
  <c r="G117" i="3" s="1"/>
  <c r="A117" i="3"/>
  <c r="H116" i="3"/>
  <c r="I116" i="3" s="1"/>
  <c r="F116" i="3"/>
  <c r="G116" i="3" s="1"/>
  <c r="A116" i="3"/>
  <c r="H115" i="3"/>
  <c r="I115" i="3" s="1"/>
  <c r="F115" i="3"/>
  <c r="G115" i="3" s="1"/>
  <c r="A115" i="3"/>
  <c r="H114" i="3"/>
  <c r="I114" i="3" s="1"/>
  <c r="F114" i="3"/>
  <c r="G114" i="3" s="1"/>
  <c r="A114" i="3"/>
  <c r="H113" i="3"/>
  <c r="I113" i="3" s="1"/>
  <c r="F113" i="3"/>
  <c r="G113" i="3" s="1"/>
  <c r="A113" i="3"/>
  <c r="H112" i="3"/>
  <c r="I112" i="3" s="1"/>
  <c r="F112" i="3"/>
  <c r="G112" i="3" s="1"/>
  <c r="A112" i="3"/>
  <c r="H111" i="3"/>
  <c r="I111" i="3" s="1"/>
  <c r="F111" i="3"/>
  <c r="G111" i="3" s="1"/>
  <c r="A111" i="3"/>
  <c r="H110" i="3"/>
  <c r="I110" i="3" s="1"/>
  <c r="F110" i="3"/>
  <c r="G110" i="3" s="1"/>
  <c r="A110" i="3"/>
  <c r="H109" i="3"/>
  <c r="I109" i="3" s="1"/>
  <c r="F109" i="3"/>
  <c r="G109" i="3" s="1"/>
  <c r="A109" i="3"/>
  <c r="H108" i="3"/>
  <c r="I108" i="3" s="1"/>
  <c r="F108" i="3"/>
  <c r="G108" i="3" s="1"/>
  <c r="A108" i="3"/>
  <c r="H107" i="3"/>
  <c r="I107" i="3" s="1"/>
  <c r="F107" i="3"/>
  <c r="G107" i="3" s="1"/>
  <c r="A107" i="3"/>
  <c r="H106" i="3"/>
  <c r="I106" i="3" s="1"/>
  <c r="F106" i="3"/>
  <c r="G106" i="3" s="1"/>
  <c r="A106" i="3"/>
  <c r="H105" i="3"/>
  <c r="I105" i="3" s="1"/>
  <c r="F105" i="3"/>
  <c r="G105" i="3" s="1"/>
  <c r="A105" i="3"/>
  <c r="H104" i="3"/>
  <c r="I104" i="3" s="1"/>
  <c r="F104" i="3"/>
  <c r="G104" i="3" s="1"/>
  <c r="A104" i="3"/>
  <c r="H103" i="3"/>
  <c r="I103" i="3" s="1"/>
  <c r="F103" i="3"/>
  <c r="G103" i="3" s="1"/>
  <c r="A103" i="3"/>
  <c r="H102" i="3"/>
  <c r="I102" i="3" s="1"/>
  <c r="F102" i="3"/>
  <c r="G102" i="3" s="1"/>
  <c r="A102" i="3"/>
  <c r="H101" i="3"/>
  <c r="I101" i="3" s="1"/>
  <c r="F101" i="3"/>
  <c r="G101" i="3" s="1"/>
  <c r="A101" i="3"/>
  <c r="H100" i="3"/>
  <c r="I100" i="3" s="1"/>
  <c r="F100" i="3"/>
  <c r="G100" i="3" s="1"/>
  <c r="A100" i="3"/>
  <c r="H99" i="3"/>
  <c r="I99" i="3" s="1"/>
  <c r="F99" i="3"/>
  <c r="G99" i="3" s="1"/>
  <c r="A99" i="3"/>
  <c r="H98" i="3"/>
  <c r="I98" i="3" s="1"/>
  <c r="F98" i="3"/>
  <c r="G98" i="3" s="1"/>
  <c r="A98" i="3"/>
  <c r="H97" i="3"/>
  <c r="I97" i="3" s="1"/>
  <c r="F97" i="3"/>
  <c r="G97" i="3" s="1"/>
  <c r="A97" i="3"/>
  <c r="H96" i="3"/>
  <c r="I96" i="3" s="1"/>
  <c r="F96" i="3"/>
  <c r="G96" i="3" s="1"/>
  <c r="A96" i="3"/>
  <c r="H95" i="3"/>
  <c r="I95" i="3" s="1"/>
  <c r="F95" i="3"/>
  <c r="G95" i="3" s="1"/>
  <c r="A95" i="3"/>
  <c r="H94" i="3"/>
  <c r="I94" i="3" s="1"/>
  <c r="F94" i="3"/>
  <c r="G94" i="3" s="1"/>
  <c r="A94" i="3"/>
  <c r="H93" i="3"/>
  <c r="I93" i="3" s="1"/>
  <c r="F93" i="3"/>
  <c r="G93" i="3" s="1"/>
  <c r="A93" i="3"/>
  <c r="H92" i="3"/>
  <c r="I92" i="3" s="1"/>
  <c r="F92" i="3"/>
  <c r="G92" i="3" s="1"/>
  <c r="A92" i="3"/>
  <c r="H91" i="3"/>
  <c r="I91" i="3" s="1"/>
  <c r="F91" i="3"/>
  <c r="G91" i="3" s="1"/>
  <c r="A91" i="3"/>
  <c r="H90" i="3"/>
  <c r="I90" i="3" s="1"/>
  <c r="F90" i="3"/>
  <c r="G90" i="3" s="1"/>
  <c r="A90" i="3"/>
  <c r="H89" i="3"/>
  <c r="I89" i="3" s="1"/>
  <c r="F89" i="3"/>
  <c r="G89" i="3" s="1"/>
  <c r="A89" i="3"/>
  <c r="H88" i="3"/>
  <c r="I88" i="3" s="1"/>
  <c r="F88" i="3"/>
  <c r="G88" i="3" s="1"/>
  <c r="A88" i="3"/>
  <c r="H87" i="3"/>
  <c r="I87" i="3" s="1"/>
  <c r="F87" i="3"/>
  <c r="G87" i="3" s="1"/>
  <c r="A87" i="3"/>
  <c r="H86" i="3"/>
  <c r="I86" i="3" s="1"/>
  <c r="F86" i="3"/>
  <c r="G86" i="3" s="1"/>
  <c r="A86" i="3"/>
  <c r="H85" i="3"/>
  <c r="I85" i="3" s="1"/>
  <c r="F85" i="3"/>
  <c r="G85" i="3" s="1"/>
  <c r="A85" i="3"/>
  <c r="H84" i="3"/>
  <c r="I84" i="3" s="1"/>
  <c r="F84" i="3"/>
  <c r="G84" i="3" s="1"/>
  <c r="A84" i="3"/>
  <c r="H83" i="3"/>
  <c r="I83" i="3" s="1"/>
  <c r="F83" i="3"/>
  <c r="G83" i="3" s="1"/>
  <c r="A83" i="3"/>
  <c r="H82" i="3"/>
  <c r="I82" i="3" s="1"/>
  <c r="F82" i="3"/>
  <c r="G82" i="3" s="1"/>
  <c r="A82" i="3"/>
  <c r="H81" i="3"/>
  <c r="I81" i="3" s="1"/>
  <c r="F81" i="3"/>
  <c r="G81" i="3" s="1"/>
  <c r="A81" i="3"/>
  <c r="H80" i="3"/>
  <c r="I80" i="3" s="1"/>
  <c r="F80" i="3"/>
  <c r="G80" i="3" s="1"/>
  <c r="A80" i="3"/>
  <c r="H79" i="3"/>
  <c r="I79" i="3" s="1"/>
  <c r="F79" i="3"/>
  <c r="G79" i="3" s="1"/>
  <c r="A79" i="3"/>
  <c r="H78" i="3"/>
  <c r="I78" i="3" s="1"/>
  <c r="F78" i="3"/>
  <c r="G78" i="3" s="1"/>
  <c r="A78" i="3"/>
  <c r="H77" i="3"/>
  <c r="I77" i="3" s="1"/>
  <c r="F77" i="3"/>
  <c r="G77" i="3" s="1"/>
  <c r="A77" i="3"/>
  <c r="H76" i="3"/>
  <c r="I76" i="3" s="1"/>
  <c r="F76" i="3"/>
  <c r="G76" i="3" s="1"/>
  <c r="A76" i="3"/>
  <c r="H75" i="3"/>
  <c r="I75" i="3" s="1"/>
  <c r="F75" i="3"/>
  <c r="G75" i="3" s="1"/>
  <c r="A75" i="3"/>
  <c r="H74" i="3"/>
  <c r="I74" i="3" s="1"/>
  <c r="F74" i="3"/>
  <c r="G74" i="3" s="1"/>
  <c r="A74" i="3"/>
  <c r="H73" i="3"/>
  <c r="I73" i="3" s="1"/>
  <c r="F73" i="3"/>
  <c r="G73" i="3" s="1"/>
  <c r="A73" i="3"/>
  <c r="H72" i="3"/>
  <c r="I72" i="3" s="1"/>
  <c r="F72" i="3"/>
  <c r="G72" i="3" s="1"/>
  <c r="A72" i="3"/>
  <c r="H71" i="3"/>
  <c r="I71" i="3" s="1"/>
  <c r="F71" i="3"/>
  <c r="G71" i="3" s="1"/>
  <c r="A71" i="3"/>
  <c r="H70" i="3"/>
  <c r="I70" i="3" s="1"/>
  <c r="F70" i="3"/>
  <c r="G70" i="3" s="1"/>
  <c r="A70" i="3"/>
  <c r="H69" i="3"/>
  <c r="I69" i="3" s="1"/>
  <c r="F69" i="3"/>
  <c r="G69" i="3" s="1"/>
  <c r="A69" i="3"/>
  <c r="H68" i="3"/>
  <c r="I68" i="3" s="1"/>
  <c r="F68" i="3"/>
  <c r="G68" i="3" s="1"/>
  <c r="A68" i="3"/>
  <c r="H67" i="3"/>
  <c r="I67" i="3" s="1"/>
  <c r="F67" i="3"/>
  <c r="G67" i="3" s="1"/>
  <c r="A67" i="3"/>
  <c r="H66" i="3"/>
  <c r="I66" i="3" s="1"/>
  <c r="F66" i="3"/>
  <c r="G66" i="3" s="1"/>
  <c r="A66" i="3"/>
  <c r="H65" i="3"/>
  <c r="I65" i="3" s="1"/>
  <c r="F65" i="3"/>
  <c r="G65" i="3" s="1"/>
  <c r="A65" i="3"/>
  <c r="H64" i="3"/>
  <c r="I64" i="3" s="1"/>
  <c r="F64" i="3"/>
  <c r="G64" i="3" s="1"/>
  <c r="A64" i="3"/>
  <c r="H63" i="3"/>
  <c r="I63" i="3" s="1"/>
  <c r="F63" i="3"/>
  <c r="G63" i="3" s="1"/>
  <c r="A63" i="3"/>
  <c r="H62" i="3"/>
  <c r="I62" i="3" s="1"/>
  <c r="F62" i="3"/>
  <c r="G62" i="3" s="1"/>
  <c r="A62" i="3"/>
  <c r="H61" i="3"/>
  <c r="I61" i="3" s="1"/>
  <c r="F61" i="3"/>
  <c r="G61" i="3" s="1"/>
  <c r="A61" i="3"/>
  <c r="H60" i="3"/>
  <c r="I60" i="3" s="1"/>
  <c r="F60" i="3"/>
  <c r="G60" i="3" s="1"/>
  <c r="A60" i="3"/>
  <c r="H59" i="3"/>
  <c r="I59" i="3" s="1"/>
  <c r="F59" i="3"/>
  <c r="G59" i="3" s="1"/>
  <c r="A59" i="3"/>
  <c r="H58" i="3"/>
  <c r="I58" i="3" s="1"/>
  <c r="F58" i="3"/>
  <c r="G58" i="3" s="1"/>
  <c r="A58" i="3"/>
  <c r="H57" i="3"/>
  <c r="I57" i="3" s="1"/>
  <c r="F57" i="3"/>
  <c r="G57" i="3" s="1"/>
  <c r="A57" i="3"/>
  <c r="H56" i="3"/>
  <c r="I56" i="3" s="1"/>
  <c r="F56" i="3"/>
  <c r="G56" i="3" s="1"/>
  <c r="A56" i="3"/>
  <c r="H55" i="3"/>
  <c r="I55" i="3" s="1"/>
  <c r="F55" i="3"/>
  <c r="G55" i="3" s="1"/>
  <c r="A55" i="3"/>
  <c r="H54" i="3"/>
  <c r="I54" i="3" s="1"/>
  <c r="F54" i="3"/>
  <c r="G54" i="3" s="1"/>
  <c r="A54" i="3"/>
  <c r="H53" i="3"/>
  <c r="I53" i="3" s="1"/>
  <c r="F53" i="3"/>
  <c r="G53" i="3" s="1"/>
  <c r="A53" i="3"/>
  <c r="H52" i="3"/>
  <c r="I52" i="3" s="1"/>
  <c r="F52" i="3"/>
  <c r="G52" i="3" s="1"/>
  <c r="A52" i="3"/>
  <c r="H51" i="3"/>
  <c r="I51" i="3" s="1"/>
  <c r="F51" i="3"/>
  <c r="G51" i="3" s="1"/>
  <c r="A51" i="3"/>
  <c r="H50" i="3"/>
  <c r="I50" i="3" s="1"/>
  <c r="F50" i="3"/>
  <c r="G50" i="3" s="1"/>
  <c r="A50" i="3"/>
  <c r="H49" i="3"/>
  <c r="I49" i="3" s="1"/>
  <c r="F49" i="3"/>
  <c r="G49" i="3" s="1"/>
  <c r="A49" i="3"/>
  <c r="H48" i="3"/>
  <c r="I48" i="3" s="1"/>
  <c r="F48" i="3"/>
  <c r="G48" i="3" s="1"/>
  <c r="A48" i="3"/>
  <c r="H47" i="3"/>
  <c r="I47" i="3" s="1"/>
  <c r="F47" i="3"/>
  <c r="G47" i="3" s="1"/>
  <c r="A47" i="3"/>
  <c r="H46" i="3"/>
  <c r="I46" i="3" s="1"/>
  <c r="F46" i="3"/>
  <c r="G46" i="3" s="1"/>
  <c r="A46" i="3"/>
  <c r="H45" i="3"/>
  <c r="I45" i="3" s="1"/>
  <c r="F45" i="3"/>
  <c r="G45" i="3" s="1"/>
  <c r="A45" i="3"/>
  <c r="H44" i="3"/>
  <c r="I44" i="3" s="1"/>
  <c r="F44" i="3"/>
  <c r="G44" i="3" s="1"/>
  <c r="A44" i="3"/>
  <c r="H43" i="3"/>
  <c r="I43" i="3" s="1"/>
  <c r="F43" i="3"/>
  <c r="G43" i="3" s="1"/>
  <c r="A43" i="3"/>
  <c r="H42" i="3"/>
  <c r="I42" i="3" s="1"/>
  <c r="F42" i="3"/>
  <c r="G42" i="3" s="1"/>
  <c r="A42" i="3"/>
  <c r="H41" i="3"/>
  <c r="I41" i="3" s="1"/>
  <c r="F41" i="3"/>
  <c r="G41" i="3" s="1"/>
  <c r="A41" i="3"/>
  <c r="H40" i="3"/>
  <c r="I40" i="3" s="1"/>
  <c r="F40" i="3"/>
  <c r="G40" i="3" s="1"/>
  <c r="A40" i="3"/>
  <c r="H39" i="3"/>
  <c r="I39" i="3" s="1"/>
  <c r="F39" i="3"/>
  <c r="G39" i="3" s="1"/>
  <c r="A39" i="3"/>
  <c r="H38" i="3"/>
  <c r="I38" i="3" s="1"/>
  <c r="F38" i="3"/>
  <c r="G38" i="3" s="1"/>
  <c r="A38" i="3"/>
  <c r="H37" i="3"/>
  <c r="I37" i="3" s="1"/>
  <c r="F37" i="3"/>
  <c r="G37" i="3" s="1"/>
  <c r="A37" i="3"/>
  <c r="H36" i="3"/>
  <c r="I36" i="3" s="1"/>
  <c r="F36" i="3"/>
  <c r="G36" i="3" s="1"/>
  <c r="A36" i="3"/>
  <c r="H35" i="3"/>
  <c r="I35" i="3" s="1"/>
  <c r="F35" i="3"/>
  <c r="G35" i="3" s="1"/>
  <c r="A35" i="3"/>
  <c r="H34" i="3"/>
  <c r="I34" i="3" s="1"/>
  <c r="F34" i="3"/>
  <c r="G34" i="3" s="1"/>
  <c r="A34" i="3"/>
  <c r="H33" i="3"/>
  <c r="I33" i="3" s="1"/>
  <c r="F33" i="3"/>
  <c r="G33" i="3" s="1"/>
  <c r="A33" i="3"/>
  <c r="H32" i="3"/>
  <c r="I32" i="3" s="1"/>
  <c r="F32" i="3"/>
  <c r="G32" i="3" s="1"/>
  <c r="A32" i="3"/>
  <c r="H31" i="3"/>
  <c r="I31" i="3" s="1"/>
  <c r="F31" i="3"/>
  <c r="G31" i="3" s="1"/>
  <c r="A31" i="3"/>
  <c r="H30" i="3"/>
  <c r="I30" i="3" s="1"/>
  <c r="F30" i="3"/>
  <c r="G30" i="3" s="1"/>
  <c r="A30" i="3"/>
  <c r="H29" i="3"/>
  <c r="I29" i="3" s="1"/>
  <c r="F29" i="3"/>
  <c r="G29" i="3" s="1"/>
  <c r="A29" i="3"/>
  <c r="H28" i="3"/>
  <c r="I28" i="3" s="1"/>
  <c r="F28" i="3"/>
  <c r="G28" i="3" s="1"/>
  <c r="A28" i="3"/>
  <c r="H27" i="3"/>
  <c r="I27" i="3" s="1"/>
  <c r="F27" i="3"/>
  <c r="G27" i="3" s="1"/>
  <c r="A27" i="3"/>
  <c r="H26" i="3"/>
  <c r="I26" i="3" s="1"/>
  <c r="F26" i="3"/>
  <c r="G26" i="3" s="1"/>
  <c r="A26" i="3"/>
  <c r="N25" i="3"/>
  <c r="L25" i="3"/>
  <c r="H25" i="3"/>
  <c r="I25" i="3" s="1"/>
  <c r="F25" i="3"/>
  <c r="G25" i="3" s="1"/>
  <c r="A25" i="3"/>
  <c r="N24" i="3"/>
  <c r="L24" i="3"/>
  <c r="H24" i="3"/>
  <c r="I24" i="3" s="1"/>
  <c r="F24" i="3"/>
  <c r="G24" i="3" s="1"/>
  <c r="A24" i="3"/>
  <c r="N23" i="3"/>
  <c r="L23" i="3"/>
  <c r="H23" i="3"/>
  <c r="I23" i="3" s="1"/>
  <c r="F23" i="3"/>
  <c r="G23" i="3" s="1"/>
  <c r="A23" i="3"/>
  <c r="H22" i="3"/>
  <c r="I22" i="3" s="1"/>
  <c r="F22" i="3"/>
  <c r="G22" i="3" s="1"/>
  <c r="A22" i="3"/>
  <c r="H21" i="3"/>
  <c r="I21" i="3" s="1"/>
  <c r="F21" i="3"/>
  <c r="G21" i="3" s="1"/>
  <c r="A21" i="3"/>
  <c r="H20" i="3"/>
  <c r="I20" i="3" s="1"/>
  <c r="F20" i="3"/>
  <c r="G20" i="3" s="1"/>
  <c r="A20" i="3"/>
  <c r="H19" i="3"/>
  <c r="I19" i="3" s="1"/>
  <c r="F19" i="3"/>
  <c r="G19" i="3" s="1"/>
  <c r="A19" i="3"/>
  <c r="H18" i="3"/>
  <c r="I18" i="3" s="1"/>
  <c r="F18" i="3"/>
  <c r="G18" i="3" s="1"/>
  <c r="A18" i="3"/>
  <c r="L17" i="3"/>
  <c r="H17" i="3"/>
  <c r="I17" i="3" s="1"/>
  <c r="F17" i="3"/>
  <c r="G17" i="3" s="1"/>
  <c r="A17" i="3"/>
  <c r="L16" i="3"/>
  <c r="H16" i="3"/>
  <c r="I16" i="3" s="1"/>
  <c r="F16" i="3"/>
  <c r="G16" i="3" s="1"/>
  <c r="A16" i="3"/>
  <c r="L15" i="3"/>
  <c r="H15" i="3"/>
  <c r="I15" i="3" s="1"/>
  <c r="F15" i="3"/>
  <c r="G15" i="3" s="1"/>
  <c r="A15" i="3"/>
  <c r="H14" i="3"/>
  <c r="I14" i="3" s="1"/>
  <c r="F14" i="3"/>
  <c r="G14" i="3" s="1"/>
  <c r="A14" i="3"/>
  <c r="H13" i="3"/>
  <c r="I13" i="3" s="1"/>
  <c r="F13" i="3"/>
  <c r="G13" i="3" s="1"/>
  <c r="A13" i="3"/>
  <c r="L12" i="3"/>
  <c r="H12" i="3"/>
  <c r="I12" i="3" s="1"/>
  <c r="F12" i="3"/>
  <c r="G12" i="3" s="1"/>
  <c r="A12" i="3"/>
  <c r="H11" i="3"/>
  <c r="I11" i="3" s="1"/>
  <c r="F11" i="3"/>
  <c r="G11" i="3" s="1"/>
  <c r="A11" i="3"/>
  <c r="L10" i="3"/>
  <c r="H10" i="3"/>
  <c r="I10" i="3" s="1"/>
  <c r="F10" i="3"/>
  <c r="G10" i="3" s="1"/>
  <c r="A10" i="3"/>
  <c r="L9" i="3"/>
  <c r="H9" i="3"/>
  <c r="I9" i="3" s="1"/>
  <c r="F9" i="3"/>
  <c r="G9" i="3" s="1"/>
  <c r="A9" i="3"/>
  <c r="H8" i="3"/>
  <c r="I8" i="3" s="1"/>
  <c r="F8" i="3"/>
  <c r="G8" i="3" s="1"/>
  <c r="A8" i="3"/>
  <c r="H7" i="3"/>
  <c r="I7" i="3" s="1"/>
  <c r="F7" i="3"/>
  <c r="G7" i="3" s="1"/>
  <c r="A7" i="3"/>
  <c r="H6" i="3"/>
  <c r="I6" i="3" s="1"/>
  <c r="F6" i="3"/>
  <c r="G6" i="3" s="1"/>
  <c r="A6" i="3"/>
  <c r="H5" i="3"/>
  <c r="I5" i="3" s="1"/>
  <c r="F5" i="3"/>
  <c r="G5" i="3" s="1"/>
  <c r="A5" i="3"/>
  <c r="H4" i="3"/>
  <c r="I4" i="3" s="1"/>
  <c r="F4" i="3"/>
  <c r="G4" i="3" s="1"/>
  <c r="A4" i="3"/>
  <c r="H3" i="3"/>
  <c r="I3" i="3" s="1"/>
  <c r="F3" i="3"/>
  <c r="G3" i="3" s="1"/>
  <c r="A3" i="3"/>
  <c r="H2" i="3"/>
  <c r="I2" i="3" s="1"/>
  <c r="F2" i="3"/>
  <c r="G2" i="3" s="1"/>
  <c r="A2" i="3"/>
  <c r="J145" i="2"/>
  <c r="E145" i="3" s="1"/>
  <c r="D145" i="3"/>
  <c r="H145" i="2"/>
  <c r="C145" i="3" s="1"/>
  <c r="G145" i="2"/>
  <c r="J144" i="2"/>
  <c r="E144" i="3" s="1"/>
  <c r="D144" i="3"/>
  <c r="H144" i="2"/>
  <c r="C144" i="3" s="1"/>
  <c r="G144" i="2"/>
  <c r="J143" i="2"/>
  <c r="E143" i="3" s="1"/>
  <c r="H143" i="2"/>
  <c r="C143" i="3" s="1"/>
  <c r="G143" i="2"/>
  <c r="J142" i="2"/>
  <c r="E142" i="3" s="1"/>
  <c r="H142" i="2"/>
  <c r="C142" i="3" s="1"/>
  <c r="G142" i="2"/>
  <c r="J141" i="2"/>
  <c r="E141" i="3" s="1"/>
  <c r="D141" i="3"/>
  <c r="H141" i="2"/>
  <c r="C141" i="3" s="1"/>
  <c r="G141" i="2"/>
  <c r="J140" i="2"/>
  <c r="E140" i="3" s="1"/>
  <c r="D140" i="3"/>
  <c r="H140" i="2"/>
  <c r="C140" i="3" s="1"/>
  <c r="G140" i="2"/>
  <c r="J139" i="2"/>
  <c r="E139" i="3" s="1"/>
  <c r="D139" i="3"/>
  <c r="H139" i="2"/>
  <c r="C139" i="3" s="1"/>
  <c r="G139" i="2"/>
  <c r="J138" i="2"/>
  <c r="E138" i="3" s="1"/>
  <c r="D138" i="3"/>
  <c r="H138" i="2"/>
  <c r="C138" i="3" s="1"/>
  <c r="G138" i="2"/>
  <c r="J137" i="2"/>
  <c r="E137" i="3" s="1"/>
  <c r="D137" i="3"/>
  <c r="H137" i="2"/>
  <c r="C137" i="3" s="1"/>
  <c r="G137" i="2"/>
  <c r="J136" i="2"/>
  <c r="E136" i="3" s="1"/>
  <c r="D136" i="3"/>
  <c r="H136" i="2"/>
  <c r="C136" i="3" s="1"/>
  <c r="G136" i="2"/>
  <c r="J135" i="2"/>
  <c r="H135" i="2"/>
  <c r="C135" i="3" s="1"/>
  <c r="G135" i="2"/>
  <c r="J134" i="2"/>
  <c r="E134" i="3" s="1"/>
  <c r="H134" i="2"/>
  <c r="C134" i="3" s="1"/>
  <c r="G134" i="2"/>
  <c r="J133" i="2"/>
  <c r="E133" i="3" s="1"/>
  <c r="D133" i="3"/>
  <c r="H133" i="2"/>
  <c r="C133" i="3" s="1"/>
  <c r="G133" i="2"/>
  <c r="J132" i="2"/>
  <c r="E132" i="3" s="1"/>
  <c r="D132" i="3"/>
  <c r="H132" i="2"/>
  <c r="C132" i="3" s="1"/>
  <c r="G132" i="2"/>
  <c r="J131" i="2"/>
  <c r="E131" i="3" s="1"/>
  <c r="D131" i="3"/>
  <c r="H131" i="2"/>
  <c r="C131" i="3" s="1"/>
  <c r="G131" i="2"/>
  <c r="J130" i="2"/>
  <c r="E130" i="3" s="1"/>
  <c r="D130" i="3"/>
  <c r="H130" i="2"/>
  <c r="C130" i="3" s="1"/>
  <c r="G130" i="2"/>
  <c r="J129" i="2"/>
  <c r="E129" i="3" s="1"/>
  <c r="D129" i="3"/>
  <c r="H129" i="2"/>
  <c r="C129" i="3" s="1"/>
  <c r="G129" i="2"/>
  <c r="J128" i="2"/>
  <c r="E128" i="3" s="1"/>
  <c r="D128" i="3"/>
  <c r="H128" i="2"/>
  <c r="C128" i="3" s="1"/>
  <c r="G128" i="2"/>
  <c r="J127" i="2"/>
  <c r="H127" i="2"/>
  <c r="C127" i="3" s="1"/>
  <c r="G127" i="2"/>
  <c r="J126" i="2"/>
  <c r="E126" i="3" s="1"/>
  <c r="H126" i="2"/>
  <c r="C126" i="3" s="1"/>
  <c r="G126" i="2"/>
  <c r="J125" i="2"/>
  <c r="E125" i="3" s="1"/>
  <c r="D125" i="3"/>
  <c r="H125" i="2"/>
  <c r="C125" i="3" s="1"/>
  <c r="G125" i="2"/>
  <c r="J124" i="2"/>
  <c r="E124" i="3" s="1"/>
  <c r="D124" i="3"/>
  <c r="H124" i="2"/>
  <c r="C124" i="3" s="1"/>
  <c r="G124" i="2"/>
  <c r="J123" i="2"/>
  <c r="E123" i="3" s="1"/>
  <c r="D123" i="3"/>
  <c r="H123" i="2"/>
  <c r="C123" i="3" s="1"/>
  <c r="G123" i="2"/>
  <c r="J122" i="2"/>
  <c r="E122" i="3" s="1"/>
  <c r="D122" i="3"/>
  <c r="H122" i="2"/>
  <c r="C122" i="3" s="1"/>
  <c r="G122" i="2"/>
  <c r="J121" i="2"/>
  <c r="E121" i="3" s="1"/>
  <c r="D121" i="3"/>
  <c r="H121" i="2"/>
  <c r="C121" i="3" s="1"/>
  <c r="G121" i="2"/>
  <c r="J120" i="2"/>
  <c r="E120" i="3" s="1"/>
  <c r="D120" i="3"/>
  <c r="H120" i="2"/>
  <c r="C120" i="3" s="1"/>
  <c r="G120" i="2"/>
  <c r="J119" i="2"/>
  <c r="H119" i="2"/>
  <c r="C119" i="3" s="1"/>
  <c r="G119" i="2"/>
  <c r="J118" i="2"/>
  <c r="E118" i="3" s="1"/>
  <c r="H118" i="2"/>
  <c r="C118" i="3" s="1"/>
  <c r="G118" i="2"/>
  <c r="J117" i="2"/>
  <c r="E117" i="3" s="1"/>
  <c r="D117" i="3"/>
  <c r="H117" i="2"/>
  <c r="C117" i="3" s="1"/>
  <c r="G117" i="2"/>
  <c r="J116" i="2"/>
  <c r="E116" i="3" s="1"/>
  <c r="D116" i="3"/>
  <c r="H116" i="2"/>
  <c r="C116" i="3" s="1"/>
  <c r="G116" i="2"/>
  <c r="J115" i="2"/>
  <c r="E115" i="3" s="1"/>
  <c r="D115" i="3"/>
  <c r="H115" i="2"/>
  <c r="C115" i="3" s="1"/>
  <c r="G115" i="2"/>
  <c r="J114" i="2"/>
  <c r="E114" i="3" s="1"/>
  <c r="D114" i="3"/>
  <c r="H114" i="2"/>
  <c r="C114" i="3" s="1"/>
  <c r="G114" i="2"/>
  <c r="J113" i="2"/>
  <c r="E113" i="3" s="1"/>
  <c r="H113" i="2"/>
  <c r="C113" i="3" s="1"/>
  <c r="G113" i="2"/>
  <c r="J112" i="2"/>
  <c r="E112" i="3" s="1"/>
  <c r="H112" i="2"/>
  <c r="C112" i="3" s="1"/>
  <c r="G112" i="2"/>
  <c r="J111" i="2"/>
  <c r="H111" i="2"/>
  <c r="C111" i="3" s="1"/>
  <c r="G111" i="2"/>
  <c r="J110" i="2"/>
  <c r="E110" i="3" s="1"/>
  <c r="H110" i="2"/>
  <c r="C110" i="3" s="1"/>
  <c r="G110" i="2"/>
  <c r="J109" i="2"/>
  <c r="E109" i="3" s="1"/>
  <c r="D109" i="3"/>
  <c r="H109" i="2"/>
  <c r="C109" i="3" s="1"/>
  <c r="G109" i="2"/>
  <c r="J108" i="2"/>
  <c r="E108" i="3" s="1"/>
  <c r="D108" i="3"/>
  <c r="H108" i="2"/>
  <c r="C108" i="3" s="1"/>
  <c r="G108" i="2"/>
  <c r="J107" i="2"/>
  <c r="E107" i="3" s="1"/>
  <c r="D107" i="3"/>
  <c r="H107" i="2"/>
  <c r="C107" i="3" s="1"/>
  <c r="G107" i="2"/>
  <c r="J106" i="2"/>
  <c r="E106" i="3" s="1"/>
  <c r="D106" i="3"/>
  <c r="H106" i="2"/>
  <c r="C106" i="3" s="1"/>
  <c r="G106" i="2"/>
  <c r="J105" i="2"/>
  <c r="E105" i="3" s="1"/>
  <c r="H105" i="2"/>
  <c r="C105" i="3" s="1"/>
  <c r="G105" i="2"/>
  <c r="J104" i="2"/>
  <c r="E104" i="3" s="1"/>
  <c r="H104" i="2"/>
  <c r="C104" i="3" s="1"/>
  <c r="G104" i="2"/>
  <c r="J103" i="2"/>
  <c r="E103" i="3" s="1"/>
  <c r="H103" i="2"/>
  <c r="C103" i="3" s="1"/>
  <c r="G103" i="2"/>
  <c r="J102" i="2"/>
  <c r="E102" i="3" s="1"/>
  <c r="H102" i="2"/>
  <c r="C102" i="3" s="1"/>
  <c r="G102" i="2"/>
  <c r="J101" i="2"/>
  <c r="D101" i="3"/>
  <c r="H101" i="2"/>
  <c r="C101" i="3" s="1"/>
  <c r="G101" i="2"/>
  <c r="J100" i="2"/>
  <c r="E100" i="3" s="1"/>
  <c r="D100" i="3"/>
  <c r="H100" i="2"/>
  <c r="C100" i="3" s="1"/>
  <c r="G100" i="2"/>
  <c r="J99" i="2"/>
  <c r="E99" i="3" s="1"/>
  <c r="D99" i="3"/>
  <c r="H99" i="2"/>
  <c r="C99" i="3" s="1"/>
  <c r="G99" i="2"/>
  <c r="J98" i="2"/>
  <c r="E98" i="3" s="1"/>
  <c r="D98" i="3"/>
  <c r="H98" i="2"/>
  <c r="C98" i="3" s="1"/>
  <c r="G98" i="2"/>
  <c r="J97" i="2"/>
  <c r="E97" i="3" s="1"/>
  <c r="H97" i="2"/>
  <c r="C97" i="3" s="1"/>
  <c r="G97" i="2"/>
  <c r="J96" i="2"/>
  <c r="E96" i="3" s="1"/>
  <c r="H96" i="2"/>
  <c r="C96" i="3" s="1"/>
  <c r="G96" i="2"/>
  <c r="J95" i="2"/>
  <c r="E95" i="3" s="1"/>
  <c r="H95" i="2"/>
  <c r="C95" i="3" s="1"/>
  <c r="G95" i="2"/>
  <c r="J94" i="2"/>
  <c r="E94" i="3" s="1"/>
  <c r="H94" i="2"/>
  <c r="C94" i="3" s="1"/>
  <c r="G94" i="2"/>
  <c r="J93" i="2"/>
  <c r="E93" i="3" s="1"/>
  <c r="D93" i="3"/>
  <c r="H93" i="2"/>
  <c r="C93" i="3" s="1"/>
  <c r="G93" i="2"/>
  <c r="J92" i="2"/>
  <c r="E92" i="3" s="1"/>
  <c r="D92" i="3"/>
  <c r="H92" i="2"/>
  <c r="C92" i="3" s="1"/>
  <c r="G92" i="2"/>
  <c r="J91" i="2"/>
  <c r="E91" i="3" s="1"/>
  <c r="D91" i="3"/>
  <c r="H91" i="2"/>
  <c r="C91" i="3" s="1"/>
  <c r="G91" i="2"/>
  <c r="J90" i="2"/>
  <c r="E90" i="3" s="1"/>
  <c r="D90" i="3"/>
  <c r="H90" i="2"/>
  <c r="C90" i="3" s="1"/>
  <c r="G90" i="2"/>
  <c r="J89" i="2"/>
  <c r="E89" i="3" s="1"/>
  <c r="H89" i="2"/>
  <c r="C89" i="3" s="1"/>
  <c r="G89" i="2"/>
  <c r="J88" i="2"/>
  <c r="E88" i="3" s="1"/>
  <c r="H88" i="2"/>
  <c r="C88" i="3" s="1"/>
  <c r="G88" i="2"/>
  <c r="J87" i="2"/>
  <c r="E87" i="3" s="1"/>
  <c r="H87" i="2"/>
  <c r="C87" i="3" s="1"/>
  <c r="G87" i="2"/>
  <c r="J86" i="2"/>
  <c r="E86" i="3" s="1"/>
  <c r="H86" i="2"/>
  <c r="C86" i="3" s="1"/>
  <c r="G86" i="2"/>
  <c r="J85" i="2"/>
  <c r="E85" i="3" s="1"/>
  <c r="D85" i="3"/>
  <c r="H85" i="2"/>
  <c r="C85" i="3" s="1"/>
  <c r="G85" i="2"/>
  <c r="J84" i="2"/>
  <c r="E84" i="3" s="1"/>
  <c r="D84" i="3"/>
  <c r="H84" i="2"/>
  <c r="C84" i="3" s="1"/>
  <c r="G84" i="2"/>
  <c r="J83" i="2"/>
  <c r="E83" i="3" s="1"/>
  <c r="D83" i="3"/>
  <c r="H83" i="2"/>
  <c r="C83" i="3" s="1"/>
  <c r="G83" i="2"/>
  <c r="J82" i="2"/>
  <c r="E82" i="3" s="1"/>
  <c r="D82" i="3"/>
  <c r="H82" i="2"/>
  <c r="C82" i="3" s="1"/>
  <c r="G82" i="2"/>
  <c r="J81" i="2"/>
  <c r="E81" i="3" s="1"/>
  <c r="H81" i="2"/>
  <c r="C81" i="3" s="1"/>
  <c r="G81" i="2"/>
  <c r="J80" i="2"/>
  <c r="E80" i="3" s="1"/>
  <c r="H80" i="2"/>
  <c r="C80" i="3" s="1"/>
  <c r="G80" i="2"/>
  <c r="J79" i="2"/>
  <c r="H79" i="2"/>
  <c r="C79" i="3" s="1"/>
  <c r="G79" i="2"/>
  <c r="J78" i="2"/>
  <c r="E78" i="3" s="1"/>
  <c r="H78" i="2"/>
  <c r="C78" i="3" s="1"/>
  <c r="G78" i="2"/>
  <c r="J77" i="2"/>
  <c r="E77" i="3" s="1"/>
  <c r="D77" i="3"/>
  <c r="H77" i="2"/>
  <c r="C77" i="3" s="1"/>
  <c r="G77" i="2"/>
  <c r="J76" i="2"/>
  <c r="E76" i="3" s="1"/>
  <c r="D76" i="3"/>
  <c r="H76" i="2"/>
  <c r="C76" i="3" s="1"/>
  <c r="G76" i="2"/>
  <c r="J75" i="2"/>
  <c r="E75" i="3" s="1"/>
  <c r="D75" i="3"/>
  <c r="H75" i="2"/>
  <c r="C75" i="3" s="1"/>
  <c r="G75" i="2"/>
  <c r="J74" i="2"/>
  <c r="E74" i="3" s="1"/>
  <c r="D74" i="3"/>
  <c r="H74" i="2"/>
  <c r="C74" i="3" s="1"/>
  <c r="G74" i="2"/>
  <c r="J73" i="2"/>
  <c r="E73" i="3" s="1"/>
  <c r="H73" i="2"/>
  <c r="C73" i="3" s="1"/>
  <c r="G73" i="2"/>
  <c r="J72" i="2"/>
  <c r="E72" i="3" s="1"/>
  <c r="H72" i="2"/>
  <c r="C72" i="3" s="1"/>
  <c r="G72" i="2"/>
  <c r="J71" i="2"/>
  <c r="E71" i="3" s="1"/>
  <c r="H71" i="2"/>
  <c r="C71" i="3" s="1"/>
  <c r="G71" i="2"/>
  <c r="J70" i="2"/>
  <c r="E70" i="3" s="1"/>
  <c r="H70" i="2"/>
  <c r="C70" i="3" s="1"/>
  <c r="G70" i="2"/>
  <c r="J69" i="2"/>
  <c r="E69" i="3" s="1"/>
  <c r="D69" i="3"/>
  <c r="H69" i="2"/>
  <c r="C69" i="3" s="1"/>
  <c r="G69" i="2"/>
  <c r="J68" i="2"/>
  <c r="E68" i="3" s="1"/>
  <c r="D68" i="3"/>
  <c r="H68" i="2"/>
  <c r="C68" i="3" s="1"/>
  <c r="G68" i="2"/>
  <c r="J67" i="2"/>
  <c r="E67" i="3" s="1"/>
  <c r="D67" i="3"/>
  <c r="H67" i="2"/>
  <c r="C67" i="3" s="1"/>
  <c r="G67" i="2"/>
  <c r="J66" i="2"/>
  <c r="D66" i="3"/>
  <c r="H66" i="2"/>
  <c r="C66" i="3" s="1"/>
  <c r="G66" i="2"/>
  <c r="J65" i="2"/>
  <c r="E65" i="3" s="1"/>
  <c r="H65" i="2"/>
  <c r="C65" i="3" s="1"/>
  <c r="G65" i="2"/>
  <c r="J64" i="2"/>
  <c r="E64" i="3" s="1"/>
  <c r="H64" i="2"/>
  <c r="C64" i="3" s="1"/>
  <c r="G64" i="2"/>
  <c r="J63" i="2"/>
  <c r="E63" i="3" s="1"/>
  <c r="H63" i="2"/>
  <c r="C63" i="3" s="1"/>
  <c r="G63" i="2"/>
  <c r="J62" i="2"/>
  <c r="E62" i="3" s="1"/>
  <c r="H62" i="2"/>
  <c r="C62" i="3" s="1"/>
  <c r="G62" i="2"/>
  <c r="J61" i="2"/>
  <c r="D61" i="3"/>
  <c r="H61" i="2"/>
  <c r="C61" i="3" s="1"/>
  <c r="G61" i="2"/>
  <c r="J60" i="2"/>
  <c r="E60" i="3" s="1"/>
  <c r="D60" i="3"/>
  <c r="H60" i="2"/>
  <c r="C60" i="3" s="1"/>
  <c r="G60" i="2"/>
  <c r="J59" i="2"/>
  <c r="E59" i="3" s="1"/>
  <c r="D59" i="3"/>
  <c r="H59" i="2"/>
  <c r="C59" i="3" s="1"/>
  <c r="G59" i="2"/>
  <c r="J58" i="2"/>
  <c r="E58" i="3" s="1"/>
  <c r="D58" i="3"/>
  <c r="H58" i="2"/>
  <c r="C58" i="3" s="1"/>
  <c r="G58" i="2"/>
  <c r="J57" i="2"/>
  <c r="E57" i="3" s="1"/>
  <c r="H57" i="2"/>
  <c r="C57" i="3" s="1"/>
  <c r="G57" i="2"/>
  <c r="J56" i="2"/>
  <c r="E56" i="3" s="1"/>
  <c r="H56" i="2"/>
  <c r="C56" i="3" s="1"/>
  <c r="G56" i="2"/>
  <c r="J55" i="2"/>
  <c r="E55" i="3" s="1"/>
  <c r="H55" i="2"/>
  <c r="C55" i="3" s="1"/>
  <c r="G55" i="2"/>
  <c r="J54" i="2"/>
  <c r="E54" i="3" s="1"/>
  <c r="D54" i="3"/>
  <c r="H54" i="2"/>
  <c r="C54" i="3" s="1"/>
  <c r="G54" i="2"/>
  <c r="J53" i="2"/>
  <c r="E53" i="3" s="1"/>
  <c r="D53" i="3"/>
  <c r="H53" i="2"/>
  <c r="C53" i="3" s="1"/>
  <c r="G53" i="2"/>
  <c r="J52" i="2"/>
  <c r="E52" i="3" s="1"/>
  <c r="D52" i="3"/>
  <c r="H52" i="2"/>
  <c r="C52" i="3" s="1"/>
  <c r="G52" i="2"/>
  <c r="J51" i="2"/>
  <c r="E51" i="3" s="1"/>
  <c r="D51" i="3"/>
  <c r="H51" i="2"/>
  <c r="C51" i="3" s="1"/>
  <c r="G51" i="2"/>
  <c r="J50" i="2"/>
  <c r="E50" i="3" s="1"/>
  <c r="D50" i="3"/>
  <c r="H50" i="2"/>
  <c r="C50" i="3" s="1"/>
  <c r="G50" i="2"/>
  <c r="J49" i="2"/>
  <c r="E49" i="3" s="1"/>
  <c r="H49" i="2"/>
  <c r="C49" i="3" s="1"/>
  <c r="G49" i="2"/>
  <c r="J48" i="2"/>
  <c r="E48" i="3" s="1"/>
  <c r="H48" i="2"/>
  <c r="C48" i="3" s="1"/>
  <c r="G48" i="2"/>
  <c r="J47" i="2"/>
  <c r="H47" i="2"/>
  <c r="C47" i="3" s="1"/>
  <c r="G47" i="2"/>
  <c r="J46" i="2"/>
  <c r="E46" i="3" s="1"/>
  <c r="H46" i="2"/>
  <c r="C46" i="3" s="1"/>
  <c r="G46" i="2"/>
  <c r="J45" i="2"/>
  <c r="D45" i="3"/>
  <c r="H45" i="2"/>
  <c r="C45" i="3" s="1"/>
  <c r="G45" i="2"/>
  <c r="J44" i="2"/>
  <c r="E44" i="3" s="1"/>
  <c r="D44" i="3"/>
  <c r="H44" i="2"/>
  <c r="C44" i="3" s="1"/>
  <c r="G44" i="2"/>
  <c r="J43" i="2"/>
  <c r="E43" i="3" s="1"/>
  <c r="D43" i="3"/>
  <c r="H43" i="2"/>
  <c r="C43" i="3" s="1"/>
  <c r="G43" i="2"/>
  <c r="J42" i="2"/>
  <c r="E42" i="3" s="1"/>
  <c r="D42" i="3"/>
  <c r="H42" i="2"/>
  <c r="C42" i="3" s="1"/>
  <c r="G42" i="2"/>
  <c r="J41" i="2"/>
  <c r="E41" i="3" s="1"/>
  <c r="H41" i="2"/>
  <c r="C41" i="3" s="1"/>
  <c r="G41" i="2"/>
  <c r="J40" i="2"/>
  <c r="E40" i="3" s="1"/>
  <c r="H40" i="2"/>
  <c r="C40" i="3" s="1"/>
  <c r="G40" i="2"/>
  <c r="J39" i="2"/>
  <c r="E39" i="3" s="1"/>
  <c r="D39" i="3"/>
  <c r="H39" i="2"/>
  <c r="C39" i="3" s="1"/>
  <c r="G39" i="2"/>
  <c r="J38" i="2"/>
  <c r="E38" i="3" s="1"/>
  <c r="H38" i="2"/>
  <c r="C38" i="3" s="1"/>
  <c r="G38" i="2"/>
  <c r="J37" i="2"/>
  <c r="E37" i="3" s="1"/>
  <c r="D37" i="3"/>
  <c r="H37" i="2"/>
  <c r="C37" i="3" s="1"/>
  <c r="G37" i="2"/>
  <c r="J36" i="2"/>
  <c r="E36" i="3" s="1"/>
  <c r="D36" i="3"/>
  <c r="H36" i="2"/>
  <c r="C36" i="3" s="1"/>
  <c r="G36" i="2"/>
  <c r="J35" i="2"/>
  <c r="E35" i="3" s="1"/>
  <c r="D35" i="3"/>
  <c r="H35" i="2"/>
  <c r="C35" i="3" s="1"/>
  <c r="G35" i="2"/>
  <c r="J34" i="2"/>
  <c r="E34" i="3" s="1"/>
  <c r="D34" i="3"/>
  <c r="H34" i="2"/>
  <c r="C34" i="3" s="1"/>
  <c r="G34" i="2"/>
  <c r="J33" i="2"/>
  <c r="E33" i="3" s="1"/>
  <c r="H33" i="2"/>
  <c r="C33" i="3" s="1"/>
  <c r="G33" i="2"/>
  <c r="J32" i="2"/>
  <c r="E32" i="3" s="1"/>
  <c r="H32" i="2"/>
  <c r="C32" i="3" s="1"/>
  <c r="G32" i="2"/>
  <c r="J31" i="2"/>
  <c r="E31" i="3" s="1"/>
  <c r="H31" i="2"/>
  <c r="C31" i="3" s="1"/>
  <c r="G31" i="2"/>
  <c r="J30" i="2"/>
  <c r="E30" i="3" s="1"/>
  <c r="H30" i="2"/>
  <c r="C30" i="3" s="1"/>
  <c r="G30" i="2"/>
  <c r="N29" i="2"/>
  <c r="J29" i="2"/>
  <c r="E29" i="3" s="1"/>
  <c r="D29" i="3"/>
  <c r="H29" i="2"/>
  <c r="C29" i="3" s="1"/>
  <c r="G29" i="2"/>
  <c r="J28" i="2"/>
  <c r="E28" i="3" s="1"/>
  <c r="D28" i="3"/>
  <c r="H28" i="2"/>
  <c r="C28" i="3" s="1"/>
  <c r="G28" i="2"/>
  <c r="J27" i="2"/>
  <c r="E27" i="3" s="1"/>
  <c r="D27" i="3"/>
  <c r="H27" i="2"/>
  <c r="C27" i="3" s="1"/>
  <c r="G27" i="2"/>
  <c r="J26" i="2"/>
  <c r="D26" i="3"/>
  <c r="H26" i="2"/>
  <c r="C26" i="3" s="1"/>
  <c r="G26" i="2"/>
  <c r="J25" i="2"/>
  <c r="E25" i="3" s="1"/>
  <c r="D25" i="3"/>
  <c r="H25" i="2"/>
  <c r="C25" i="3" s="1"/>
  <c r="G25" i="2"/>
  <c r="N24" i="2"/>
  <c r="J24" i="2"/>
  <c r="E24" i="3" s="1"/>
  <c r="H24" i="2"/>
  <c r="C24" i="3" s="1"/>
  <c r="G24" i="2"/>
  <c r="J23" i="2"/>
  <c r="E23" i="3" s="1"/>
  <c r="D23" i="3"/>
  <c r="H23" i="2"/>
  <c r="C23" i="3" s="1"/>
  <c r="G23" i="2"/>
  <c r="J22" i="2"/>
  <c r="E22" i="3" s="1"/>
  <c r="H22" i="2"/>
  <c r="C22" i="3" s="1"/>
  <c r="G22" i="2"/>
  <c r="J21" i="2"/>
  <c r="E21" i="3" s="1"/>
  <c r="D21" i="3"/>
  <c r="H21" i="2"/>
  <c r="C21" i="3" s="1"/>
  <c r="G21" i="2"/>
  <c r="N20" i="2"/>
  <c r="J20" i="2"/>
  <c r="E20" i="3" s="1"/>
  <c r="D20" i="3"/>
  <c r="H20" i="2"/>
  <c r="C20" i="3" s="1"/>
  <c r="G20" i="2"/>
  <c r="J19" i="2"/>
  <c r="E19" i="3" s="1"/>
  <c r="D19" i="3"/>
  <c r="H19" i="2"/>
  <c r="C19" i="3" s="1"/>
  <c r="G19" i="2"/>
  <c r="J18" i="2"/>
  <c r="E18" i="3" s="1"/>
  <c r="D18" i="3"/>
  <c r="H18" i="2"/>
  <c r="C18" i="3" s="1"/>
  <c r="G18" i="2"/>
  <c r="J17" i="2"/>
  <c r="E17" i="3" s="1"/>
  <c r="H17" i="2"/>
  <c r="C17" i="3" s="1"/>
  <c r="G17" i="2"/>
  <c r="J16" i="2"/>
  <c r="E16" i="3" s="1"/>
  <c r="D16" i="3"/>
  <c r="H16" i="2"/>
  <c r="C16" i="3" s="1"/>
  <c r="G16" i="2"/>
  <c r="J15" i="2"/>
  <c r="E15" i="3" s="1"/>
  <c r="H15" i="2"/>
  <c r="C15" i="3" s="1"/>
  <c r="G15" i="2"/>
  <c r="J14" i="2"/>
  <c r="E14" i="3" s="1"/>
  <c r="H14" i="2"/>
  <c r="C14" i="3" s="1"/>
  <c r="G14" i="2"/>
  <c r="J13" i="2"/>
  <c r="E13" i="3" s="1"/>
  <c r="D13" i="3"/>
  <c r="H13" i="2"/>
  <c r="C13" i="3" s="1"/>
  <c r="G13" i="2"/>
  <c r="J12" i="2"/>
  <c r="E12" i="3" s="1"/>
  <c r="D12" i="3"/>
  <c r="H12" i="2"/>
  <c r="C12" i="3" s="1"/>
  <c r="G12" i="2"/>
  <c r="J11" i="2"/>
  <c r="E11" i="3" s="1"/>
  <c r="D11" i="3"/>
  <c r="H11" i="2"/>
  <c r="C11" i="3" s="1"/>
  <c r="G11" i="2"/>
  <c r="J10" i="2"/>
  <c r="E10" i="3" s="1"/>
  <c r="D10" i="3"/>
  <c r="H10" i="2"/>
  <c r="C10" i="3" s="1"/>
  <c r="G10" i="2"/>
  <c r="J9" i="2"/>
  <c r="E9" i="3" s="1"/>
  <c r="H9" i="2"/>
  <c r="C9" i="3" s="1"/>
  <c r="G9" i="2"/>
  <c r="J8" i="2"/>
  <c r="E8" i="3" s="1"/>
  <c r="D8" i="3"/>
  <c r="H8" i="2"/>
  <c r="C8" i="3" s="1"/>
  <c r="J7" i="2"/>
  <c r="E7" i="3" s="1"/>
  <c r="H7" i="2"/>
  <c r="C7" i="3" s="1"/>
  <c r="G7" i="2"/>
  <c r="J6" i="2"/>
  <c r="E6" i="3" s="1"/>
  <c r="D6" i="3"/>
  <c r="H6" i="2"/>
  <c r="C6" i="3" s="1"/>
  <c r="G6" i="2"/>
  <c r="J5" i="2"/>
  <c r="E5" i="3" s="1"/>
  <c r="D5" i="3"/>
  <c r="H5" i="2"/>
  <c r="C5" i="3" s="1"/>
  <c r="G5" i="2"/>
  <c r="J4" i="2"/>
  <c r="E4" i="3" s="1"/>
  <c r="D4" i="3"/>
  <c r="H4" i="2"/>
  <c r="C4" i="3" s="1"/>
  <c r="G4" i="2"/>
  <c r="J3" i="2"/>
  <c r="E3" i="3" s="1"/>
  <c r="D3" i="3"/>
  <c r="H3" i="2"/>
  <c r="C3" i="3" s="1"/>
  <c r="G3" i="2"/>
  <c r="J2" i="2"/>
  <c r="E2" i="3" s="1"/>
  <c r="D2" i="3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29" i="2" l="1"/>
  <c r="B29" i="3" s="1"/>
  <c r="K61" i="2"/>
  <c r="B61" i="3" s="1"/>
  <c r="K79" i="2"/>
  <c r="B79" i="3" s="1"/>
  <c r="K137" i="2"/>
  <c r="B137" i="3" s="1"/>
  <c r="K139" i="2"/>
  <c r="B139" i="3" s="1"/>
  <c r="K141" i="2"/>
  <c r="B141" i="3" s="1"/>
  <c r="K96" i="2"/>
  <c r="B96" i="3" s="1"/>
  <c r="K97" i="2"/>
  <c r="B97" i="3" s="1"/>
  <c r="K4" i="2"/>
  <c r="B4" i="3" s="1"/>
  <c r="K94" i="2"/>
  <c r="B94" i="3" s="1"/>
  <c r="K5" i="2"/>
  <c r="B5" i="3" s="1"/>
  <c r="K7" i="2"/>
  <c r="B7" i="3" s="1"/>
  <c r="K11" i="2"/>
  <c r="B11" i="3" s="1"/>
  <c r="K13" i="2"/>
  <c r="B13" i="3" s="1"/>
  <c r="K15" i="2"/>
  <c r="B15" i="3" s="1"/>
  <c r="K36" i="2"/>
  <c r="B36" i="3" s="1"/>
  <c r="K40" i="2"/>
  <c r="B40" i="3" s="1"/>
  <c r="K46" i="2"/>
  <c r="B46" i="3" s="1"/>
  <c r="K52" i="2"/>
  <c r="B52" i="3" s="1"/>
  <c r="K32" i="2"/>
  <c r="B32" i="3" s="1"/>
  <c r="K42" i="2"/>
  <c r="B42" i="3" s="1"/>
  <c r="K44" i="2"/>
  <c r="B44" i="3" s="1"/>
  <c r="K48" i="2"/>
  <c r="B48" i="3" s="1"/>
  <c r="K58" i="2"/>
  <c r="B58" i="3" s="1"/>
  <c r="K77" i="2"/>
  <c r="B77" i="3" s="1"/>
  <c r="K21" i="2"/>
  <c r="B21" i="3" s="1"/>
  <c r="K26" i="2"/>
  <c r="B26" i="3" s="1"/>
  <c r="K93" i="2"/>
  <c r="B93" i="3" s="1"/>
  <c r="K78" i="2"/>
  <c r="B78" i="3" s="1"/>
  <c r="K80" i="2"/>
  <c r="B80" i="3" s="1"/>
  <c r="K88" i="2"/>
  <c r="B88" i="3" s="1"/>
  <c r="K90" i="2"/>
  <c r="B90" i="3" s="1"/>
  <c r="K92" i="2"/>
  <c r="B92" i="3" s="1"/>
  <c r="K127" i="2"/>
  <c r="B127" i="3" s="1"/>
  <c r="K135" i="2"/>
  <c r="B135" i="3" s="1"/>
  <c r="K6" i="2"/>
  <c r="B6" i="3" s="1"/>
  <c r="K37" i="2"/>
  <c r="B37" i="3" s="1"/>
  <c r="K39" i="2"/>
  <c r="B39" i="3" s="1"/>
  <c r="K66" i="2"/>
  <c r="B66" i="3" s="1"/>
  <c r="K126" i="2"/>
  <c r="B126" i="3" s="1"/>
  <c r="K128" i="2"/>
  <c r="B128" i="3" s="1"/>
  <c r="K132" i="2"/>
  <c r="B132" i="3" s="1"/>
  <c r="K136" i="2"/>
  <c r="B136" i="3" s="1"/>
  <c r="K142" i="2"/>
  <c r="B142" i="3" s="1"/>
  <c r="K22" i="2"/>
  <c r="B22" i="3" s="1"/>
  <c r="K24" i="2"/>
  <c r="B24" i="3" s="1"/>
  <c r="K49" i="2"/>
  <c r="B49" i="3" s="1"/>
  <c r="K53" i="2"/>
  <c r="B53" i="3" s="1"/>
  <c r="K57" i="2"/>
  <c r="B57" i="3" s="1"/>
  <c r="K73" i="2"/>
  <c r="B73" i="3" s="1"/>
  <c r="K75" i="2"/>
  <c r="B75" i="3" s="1"/>
  <c r="K98" i="2"/>
  <c r="B98" i="3" s="1"/>
  <c r="K100" i="2"/>
  <c r="B100" i="3" s="1"/>
  <c r="K104" i="2"/>
  <c r="B104" i="3" s="1"/>
  <c r="K108" i="2"/>
  <c r="B108" i="3" s="1"/>
  <c r="K114" i="2"/>
  <c r="B114" i="3" s="1"/>
  <c r="K116" i="2"/>
  <c r="B116" i="3" s="1"/>
  <c r="K118" i="2"/>
  <c r="B118" i="3" s="1"/>
  <c r="K120" i="2"/>
  <c r="B120" i="3" s="1"/>
  <c r="K99" i="2"/>
  <c r="B99" i="3" s="1"/>
  <c r="K105" i="2"/>
  <c r="B105" i="3" s="1"/>
  <c r="K109" i="2"/>
  <c r="B109" i="3" s="1"/>
  <c r="K112" i="2"/>
  <c r="B112" i="3" s="1"/>
  <c r="E135" i="3"/>
  <c r="K131" i="2"/>
  <c r="B131" i="3" s="1"/>
  <c r="K62" i="2"/>
  <c r="B62" i="3" s="1"/>
  <c r="K64" i="2"/>
  <c r="B64" i="3" s="1"/>
  <c r="K68" i="2"/>
  <c r="B68" i="3" s="1"/>
  <c r="K70" i="2"/>
  <c r="B70" i="3" s="1"/>
  <c r="K113" i="2"/>
  <c r="B113" i="3" s="1"/>
  <c r="K119" i="2"/>
  <c r="B119" i="3" s="1"/>
  <c r="K133" i="2"/>
  <c r="B133" i="3" s="1"/>
  <c r="K144" i="2"/>
  <c r="B144" i="3" s="1"/>
  <c r="K45" i="2"/>
  <c r="B45" i="3" s="1"/>
  <c r="K56" i="2"/>
  <c r="B56" i="3" s="1"/>
  <c r="K87" i="2"/>
  <c r="B87" i="3" s="1"/>
  <c r="K125" i="2"/>
  <c r="B125" i="3" s="1"/>
  <c r="L5" i="3"/>
  <c r="E61" i="3"/>
  <c r="E119" i="3"/>
  <c r="K8" i="2"/>
  <c r="B8" i="3" s="1"/>
  <c r="K19" i="2"/>
  <c r="B19" i="3" s="1"/>
  <c r="K59" i="2"/>
  <c r="B59" i="3" s="1"/>
  <c r="K67" i="2"/>
  <c r="B67" i="3" s="1"/>
  <c r="K72" i="2"/>
  <c r="B72" i="3" s="1"/>
  <c r="K95" i="2"/>
  <c r="B95" i="3" s="1"/>
  <c r="K145" i="2"/>
  <c r="B145" i="3" s="1"/>
  <c r="E66" i="3"/>
  <c r="E79" i="3"/>
  <c r="K25" i="2"/>
  <c r="B25" i="3" s="1"/>
  <c r="K27" i="2"/>
  <c r="B27" i="3" s="1"/>
  <c r="K10" i="2"/>
  <c r="B10" i="3" s="1"/>
  <c r="K16" i="2"/>
  <c r="B16" i="3" s="1"/>
  <c r="K18" i="2"/>
  <c r="B18" i="3" s="1"/>
  <c r="K31" i="2"/>
  <c r="B31" i="3" s="1"/>
  <c r="K33" i="2"/>
  <c r="B33" i="3" s="1"/>
  <c r="K54" i="2"/>
  <c r="B54" i="3" s="1"/>
  <c r="K81" i="2"/>
  <c r="B81" i="3" s="1"/>
  <c r="K83" i="2"/>
  <c r="B83" i="3" s="1"/>
  <c r="K85" i="2"/>
  <c r="B85" i="3" s="1"/>
  <c r="K101" i="2"/>
  <c r="B101" i="3" s="1"/>
  <c r="K103" i="2"/>
  <c r="B103" i="3" s="1"/>
  <c r="K121" i="2"/>
  <c r="B121" i="3" s="1"/>
  <c r="K123" i="2"/>
  <c r="B123" i="3" s="1"/>
  <c r="K130" i="2"/>
  <c r="B130" i="3" s="1"/>
  <c r="B2" i="3"/>
  <c r="K30" i="2"/>
  <c r="B30" i="3" s="1"/>
  <c r="K102" i="2"/>
  <c r="B102" i="3" s="1"/>
  <c r="E111" i="3"/>
  <c r="K111" i="2"/>
  <c r="B111" i="3" s="1"/>
  <c r="K134" i="2"/>
  <c r="B134" i="3" s="1"/>
  <c r="K140" i="2"/>
  <c r="B140" i="3" s="1"/>
  <c r="E26" i="3"/>
  <c r="E45" i="3"/>
  <c r="E101" i="3"/>
  <c r="E127" i="3"/>
  <c r="P12" i="2"/>
  <c r="K20" i="2"/>
  <c r="B20" i="3" s="1"/>
  <c r="K23" i="2"/>
  <c r="B23" i="3" s="1"/>
  <c r="K60" i="2"/>
  <c r="B60" i="3" s="1"/>
  <c r="K82" i="2"/>
  <c r="B82" i="3" s="1"/>
  <c r="K89" i="2"/>
  <c r="B89" i="3" s="1"/>
  <c r="K17" i="2"/>
  <c r="B17" i="3" s="1"/>
  <c r="K41" i="2"/>
  <c r="B41" i="3" s="1"/>
  <c r="K55" i="2"/>
  <c r="B55" i="3" s="1"/>
  <c r="K84" i="2"/>
  <c r="B84" i="3" s="1"/>
  <c r="K110" i="2"/>
  <c r="B110" i="3" s="1"/>
  <c r="K117" i="2"/>
  <c r="B117" i="3" s="1"/>
  <c r="K122" i="2"/>
  <c r="B122" i="3" s="1"/>
  <c r="N9" i="2"/>
  <c r="C2" i="3"/>
  <c r="K3" i="2"/>
  <c r="B3" i="3" s="1"/>
  <c r="K14" i="2"/>
  <c r="B14" i="3" s="1"/>
  <c r="K50" i="2"/>
  <c r="B50" i="3" s="1"/>
  <c r="K69" i="2"/>
  <c r="B69" i="3" s="1"/>
  <c r="K74" i="2"/>
  <c r="B74" i="3" s="1"/>
  <c r="K86" i="2"/>
  <c r="B86" i="3" s="1"/>
  <c r="K124" i="2"/>
  <c r="B124" i="3" s="1"/>
  <c r="K38" i="2"/>
  <c r="B38" i="3" s="1"/>
  <c r="E47" i="3"/>
  <c r="K47" i="2"/>
  <c r="B47" i="3" s="1"/>
  <c r="K71" i="2"/>
  <c r="B71" i="3" s="1"/>
  <c r="K76" i="2"/>
  <c r="B76" i="3" s="1"/>
  <c r="K12" i="2"/>
  <c r="B12" i="3" s="1"/>
  <c r="K34" i="2"/>
  <c r="B34" i="3" s="1"/>
  <c r="K35" i="2"/>
  <c r="B35" i="3" s="1"/>
  <c r="K65" i="2"/>
  <c r="B65" i="3" s="1"/>
  <c r="K106" i="2"/>
  <c r="B106" i="3" s="1"/>
  <c r="K138" i="2"/>
  <c r="B138" i="3" s="1"/>
  <c r="K143" i="2"/>
  <c r="B143" i="3" s="1"/>
  <c r="K9" i="2"/>
  <c r="B9" i="3" s="1"/>
  <c r="K28" i="2"/>
  <c r="B28" i="3" s="1"/>
  <c r="K63" i="2"/>
  <c r="B63" i="3" s="1"/>
  <c r="K91" i="2"/>
  <c r="B91" i="3" s="1"/>
  <c r="K129" i="2"/>
  <c r="B129" i="3" s="1"/>
  <c r="K51" i="2"/>
  <c r="B51" i="3" s="1"/>
  <c r="K115" i="2"/>
  <c r="B115" i="3" s="1"/>
  <c r="K43" i="2"/>
  <c r="B43" i="3" s="1"/>
  <c r="K107" i="2"/>
  <c r="B107" i="3" s="1"/>
  <c r="L4" i="3" l="1"/>
  <c r="N16" i="2"/>
  <c r="N5" i="2"/>
  <c r="N12" i="2"/>
</calcChain>
</file>

<file path=xl/sharedStrings.xml><?xml version="1.0" encoding="utf-8"?>
<sst xmlns="http://schemas.openxmlformats.org/spreadsheetml/2006/main" count="157" uniqueCount="109">
  <si>
    <t>Date</t>
  </si>
  <si>
    <t>Open</t>
  </si>
  <si>
    <t>High</t>
  </si>
  <si>
    <t>Low</t>
  </si>
  <si>
    <t>Close</t>
  </si>
  <si>
    <t>Adj Close</t>
  </si>
  <si>
    <t>Daily Returns</t>
  </si>
  <si>
    <t>(2) Plot returns as a function of time. Is there a significant linear or non-linear trend?</t>
  </si>
  <si>
    <t>FORMULA: DAILY RETURNS = (Adj Close[t] - Adj Close[t-1]) / Adj Close[t-1]</t>
  </si>
  <si>
    <t>In Excel (newest first): =(F2-F3)/F3</t>
  </si>
  <si>
    <t>Monthly Return</t>
  </si>
  <si>
    <t>MKT-RF</t>
  </si>
  <si>
    <t>RF %</t>
  </si>
  <si>
    <t>EXCESS RETURNS</t>
  </si>
  <si>
    <t>PG EXCESS RETURNS</t>
  </si>
  <si>
    <t>AVERAGE</t>
  </si>
  <si>
    <t>← Performance of the stock</t>
  </si>
  <si>
    <t>STD DEVIATION</t>
  </si>
  <si>
    <t>← Risk of the stock</t>
  </si>
  <si>
    <t>← Market performance</t>
  </si>
  <si>
    <t>← Market risk</t>
  </si>
  <si>
    <t>Discussion:</t>
  </si>
  <si>
    <t>PG avg excess return =</t>
  </si>
  <si>
    <t>vs Mkt-RF avg:</t>
  </si>
  <si>
    <t>Correlation =</t>
  </si>
  <si>
    <t>α (Intercept) =</t>
  </si>
  <si>
    <t>β (Slope) =</t>
  </si>
  <si>
    <t>PG moves β% per 1% move in Mkt-RF</t>
  </si>
  <si>
    <t>→ See CAPM Regression Output sheet for full results.</t>
  </si>
  <si>
    <t>(6) H₀: β=0  vs  H₁: β≠0  (5% two-tailed)</t>
  </si>
  <si>
    <t>t-stat =</t>
  </si>
  <si>
    <t>t-critical (5%, 2-tail) =</t>
  </si>
  <si>
    <t>p-value =</t>
  </si>
  <si>
    <t>Market risk significantly explains PG returns.</t>
  </si>
  <si>
    <t>(7) H₀: β≤1  vs  H₁: β&gt;1  (1% one-tailed)</t>
  </si>
  <si>
    <t>t-stat = (β−1)/se =</t>
  </si>
  <si>
    <t>t-critical (1%, 1-tail) =</t>
  </si>
  <si>
    <t>t-stat &lt; t-critical → FAIL TO REJECT H₀</t>
  </si>
  <si>
    <t>rMkt,SMB =</t>
  </si>
  <si>
    <t>rMkt,HML =</t>
  </si>
  <si>
    <t>rSMB,HML =</t>
  </si>
  <si>
    <t>All correlations &lt; 0.5 → LOW collinearity. Factors are largely independent.</t>
  </si>
  <si>
    <t>(8b) FF 3-Factor Coefficients:</t>
  </si>
  <si>
    <t>α =</t>
  </si>
  <si>
    <t>β_MKT =</t>
  </si>
  <si>
    <t>Positive, &lt;1 → defensive stock, moves with market but less aggressively</t>
  </si>
  <si>
    <t>β_SMB =</t>
  </si>
  <si>
    <t>Strongly negative → PG behaves as a large-cap stock (expected for P&amp;G)</t>
  </si>
  <si>
    <t>β_HML =</t>
  </si>
  <si>
    <t>Small, not significant → minimal value/growth tilt</t>
  </si>
  <si>
    <t>(9) H₀: α≤0  vs  H₁: α&gt;0  (5% one-tailed)</t>
  </si>
  <si>
    <t>se(α) =</t>
  </si>
  <si>
    <t>t-stat = α/se =</t>
  </si>
  <si>
    <t>t-critical (5%, 1-tail) =</t>
  </si>
  <si>
    <t>No evidence of significantly positive risk-adjusted returns. Alpha ≈ 0.</t>
  </si>
  <si>
    <t>(10) Significance of MKT, SMB, HML at 1% (two-tailed)</t>
  </si>
  <si>
    <t>t-critical (1%, 2-tail) =</t>
  </si>
  <si>
    <t>β_MKT  t-stat =</t>
  </si>
  <si>
    <t>→ SIGNIFICANT at 1%</t>
  </si>
  <si>
    <t>β_SMB  t-stat =</t>
  </si>
  <si>
    <t>β_HML  t-stat =</t>
  </si>
  <si>
    <t>→ NOT significant at 1%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</si>
  <si>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</si>
  <si>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</si>
  <si>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</si>
  <si>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</si>
  <si>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</si>
  <si>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</si>
  <si>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</si>
  <si>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</si>
  <si>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</si>
  <si>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</si>
  <si>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</si>
  <si>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</si>
  <si>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</si>
  <si>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</si>
  <si>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</si>
  <si>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</si>
  <si>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</si>
  <si>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</si>
  <si>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</si>
  <si>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</si>
  <si>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</si>
  <si>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</si>
  <si>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</si>
  <si>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</si>
  <si>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</si>
  <si>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X Variable 1 (MKT-RF)</t>
  </si>
  <si>
    <t>X Variable 2 (SMB)</t>
  </si>
  <si>
    <t>X Variable 3 (HML)</t>
  </si>
  <si>
    <t>The R² of the linear trend line is very low (~0.04%) --&gt; NO significant linear trend.</t>
  </si>
  <si>
    <t>Returns fluctuate randomly around zero --&gt; consistent with weak-form market efficiency.</t>
  </si>
  <si>
    <t>MKT-RF (%)</t>
  </si>
  <si>
    <t>RF (%)</t>
  </si>
  <si>
    <t>RF (decimals)</t>
  </si>
  <si>
    <t>SMB (%)</t>
  </si>
  <si>
    <t>HML (%)</t>
  </si>
  <si>
    <t>PG underperformed market on avg, with comparable risk --&gt; less favorable risk-return trade-off.</t>
  </si>
  <si>
    <t>(3) Average &amp; Std Dev_PG vs Mkt-RF (Risk-Return Trade-off)</t>
  </si>
  <si>
    <t>(5) OLS Estimators_CAPM: R_PG = α + β·(Mkt-RF) + ε</t>
  </si>
  <si>
    <t>(4) Correlation_PG Excess Returns vs Mkt-RF</t>
  </si>
  <si>
    <t>Positive but moderate (~0.36) --&gt; PG moves with market, not a pure tracker.</t>
  </si>
  <si>
    <t>PG is a DEFENSIVE stock (β&lt;1) --&gt; less risky than the overall market.</t>
  </si>
  <si>
    <t>Avg monthly excess return unexplained by market --&gt; positive but not significant</t>
  </si>
  <si>
    <t>→ p &lt; 0.05: REJECT H₀ --&gt; β is significant at 5%</t>
  </si>
  <si>
    <t>(8) Correlation MKT/SMB/HML_Collinearity Check</t>
  </si>
  <si>
    <r>
      <t>Not significant (</t>
    </r>
    <r>
      <rPr>
        <i/>
        <u/>
        <sz val="11"/>
        <rFont val="Calibri"/>
        <family val="2"/>
      </rPr>
      <t>see Q9</t>
    </r>
    <r>
      <rPr>
        <i/>
        <sz val="11"/>
        <rFont val="Calibri"/>
        <family val="2"/>
      </rPr>
      <t>)</t>
    </r>
  </si>
  <si>
    <t>HML (decimals)</t>
  </si>
  <si>
    <t>SMB (decimals)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</si>
</sst>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6" formatCode="0.0000"/>
    <numFmt numFmtId="172" formatCode="0.0000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11"/>
      <color rgb="FFFF0000"/>
      <name val="Calibri"/>
      <family val="2"/>
    </font>
    <font>
      <i/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  <fill>
      <patternFill patternType="solid">
        <fgColor theme="3" tint="0.59999389629810485"/>
        <bgColor rgb="FF333333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166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1" fontId="3" fillId="0" borderId="0" xfId="0" applyNumberFormat="1" applyFont="1" applyAlignment="1">
      <alignment horizontal="right" vertical="center"/>
    </xf>
    <xf numFmtId="172" fontId="3" fillId="0" borderId="0" xfId="0" applyNumberFormat="1" applyFont="1" applyAlignment="1">
      <alignment horizontal="right" vertical="center"/>
    </xf>
    <xf numFmtId="172" fontId="0" fillId="0" borderId="0" xfId="0" applyNumberFormat="1"/>
    <xf numFmtId="0" fontId="1" fillId="4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PG Daily Returns Over Time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FF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7414567869967739E-2"/>
                  <c:y val="5.396663966659699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accent1">
                            <a:lumMod val="75000"/>
                          </a:schemeClr>
                        </a:solidFill>
                      </a:rPr>
                      <a:t>R² = 0,0004</a:t>
                    </a:r>
                  </a:p>
                </c:rich>
              </c:tx>
              <c:numFmt formatCode="General" sourceLinked="0"/>
              <c:spPr>
                <a:solidFill>
                  <a:srgbClr val="FFFF00">
                    <a:alpha val="80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'PG DAILY DATA'!$A$2:$A$507</c:f>
              <c:numCache>
                <c:formatCode>mm/dd/yyyy</c:formatCode>
                <c:ptCount val="506"/>
                <c:pt idx="0">
                  <c:v>45607</c:v>
                </c:pt>
                <c:pt idx="1">
                  <c:v>45604</c:v>
                </c:pt>
                <c:pt idx="2">
                  <c:v>45603</c:v>
                </c:pt>
                <c:pt idx="3">
                  <c:v>45602</c:v>
                </c:pt>
                <c:pt idx="4">
                  <c:v>45601</c:v>
                </c:pt>
                <c:pt idx="5">
                  <c:v>45600</c:v>
                </c:pt>
                <c:pt idx="6">
                  <c:v>45597</c:v>
                </c:pt>
                <c:pt idx="7">
                  <c:v>45596</c:v>
                </c:pt>
                <c:pt idx="8">
                  <c:v>45595</c:v>
                </c:pt>
                <c:pt idx="9">
                  <c:v>45594</c:v>
                </c:pt>
                <c:pt idx="10">
                  <c:v>45593</c:v>
                </c:pt>
                <c:pt idx="11">
                  <c:v>45590</c:v>
                </c:pt>
                <c:pt idx="12">
                  <c:v>45589</c:v>
                </c:pt>
                <c:pt idx="13">
                  <c:v>45588</c:v>
                </c:pt>
                <c:pt idx="14">
                  <c:v>45587</c:v>
                </c:pt>
                <c:pt idx="15">
                  <c:v>45586</c:v>
                </c:pt>
                <c:pt idx="16">
                  <c:v>45583</c:v>
                </c:pt>
                <c:pt idx="17">
                  <c:v>45582</c:v>
                </c:pt>
                <c:pt idx="18">
                  <c:v>45581</c:v>
                </c:pt>
                <c:pt idx="19">
                  <c:v>45580</c:v>
                </c:pt>
                <c:pt idx="20">
                  <c:v>45579</c:v>
                </c:pt>
                <c:pt idx="21">
                  <c:v>45576</c:v>
                </c:pt>
                <c:pt idx="22">
                  <c:v>45575</c:v>
                </c:pt>
                <c:pt idx="23">
                  <c:v>45574</c:v>
                </c:pt>
                <c:pt idx="24">
                  <c:v>45573</c:v>
                </c:pt>
                <c:pt idx="25">
                  <c:v>45572</c:v>
                </c:pt>
                <c:pt idx="26">
                  <c:v>45569</c:v>
                </c:pt>
                <c:pt idx="27">
                  <c:v>45568</c:v>
                </c:pt>
                <c:pt idx="28">
                  <c:v>45567</c:v>
                </c:pt>
                <c:pt idx="29">
                  <c:v>45566</c:v>
                </c:pt>
                <c:pt idx="30">
                  <c:v>45565</c:v>
                </c:pt>
                <c:pt idx="31">
                  <c:v>45562</c:v>
                </c:pt>
                <c:pt idx="32">
                  <c:v>45561</c:v>
                </c:pt>
                <c:pt idx="33">
                  <c:v>45560</c:v>
                </c:pt>
                <c:pt idx="34">
                  <c:v>45559</c:v>
                </c:pt>
                <c:pt idx="35">
                  <c:v>45558</c:v>
                </c:pt>
                <c:pt idx="36">
                  <c:v>45555</c:v>
                </c:pt>
                <c:pt idx="37">
                  <c:v>45554</c:v>
                </c:pt>
                <c:pt idx="38">
                  <c:v>45553</c:v>
                </c:pt>
                <c:pt idx="39">
                  <c:v>45552</c:v>
                </c:pt>
                <c:pt idx="40">
                  <c:v>45551</c:v>
                </c:pt>
                <c:pt idx="41">
                  <c:v>45548</c:v>
                </c:pt>
                <c:pt idx="42">
                  <c:v>45547</c:v>
                </c:pt>
                <c:pt idx="43">
                  <c:v>45546</c:v>
                </c:pt>
                <c:pt idx="44">
                  <c:v>45545</c:v>
                </c:pt>
                <c:pt idx="45">
                  <c:v>45544</c:v>
                </c:pt>
                <c:pt idx="46">
                  <c:v>45541</c:v>
                </c:pt>
                <c:pt idx="47">
                  <c:v>45540</c:v>
                </c:pt>
                <c:pt idx="48">
                  <c:v>45539</c:v>
                </c:pt>
                <c:pt idx="49">
                  <c:v>45538</c:v>
                </c:pt>
                <c:pt idx="50">
                  <c:v>45534</c:v>
                </c:pt>
                <c:pt idx="51">
                  <c:v>45533</c:v>
                </c:pt>
                <c:pt idx="52">
                  <c:v>45532</c:v>
                </c:pt>
                <c:pt idx="53">
                  <c:v>45531</c:v>
                </c:pt>
                <c:pt idx="54">
                  <c:v>45530</c:v>
                </c:pt>
                <c:pt idx="55">
                  <c:v>45527</c:v>
                </c:pt>
                <c:pt idx="56">
                  <c:v>45526</c:v>
                </c:pt>
                <c:pt idx="57">
                  <c:v>45525</c:v>
                </c:pt>
                <c:pt idx="58">
                  <c:v>45524</c:v>
                </c:pt>
                <c:pt idx="59">
                  <c:v>45523</c:v>
                </c:pt>
                <c:pt idx="60">
                  <c:v>45520</c:v>
                </c:pt>
                <c:pt idx="61">
                  <c:v>45519</c:v>
                </c:pt>
                <c:pt idx="62">
                  <c:v>45518</c:v>
                </c:pt>
                <c:pt idx="63">
                  <c:v>45517</c:v>
                </c:pt>
                <c:pt idx="64">
                  <c:v>45516</c:v>
                </c:pt>
                <c:pt idx="65">
                  <c:v>45513</c:v>
                </c:pt>
                <c:pt idx="66">
                  <c:v>45512</c:v>
                </c:pt>
                <c:pt idx="67">
                  <c:v>45511</c:v>
                </c:pt>
                <c:pt idx="68">
                  <c:v>45510</c:v>
                </c:pt>
                <c:pt idx="69">
                  <c:v>45509</c:v>
                </c:pt>
                <c:pt idx="70">
                  <c:v>45506</c:v>
                </c:pt>
                <c:pt idx="71">
                  <c:v>45505</c:v>
                </c:pt>
                <c:pt idx="72">
                  <c:v>45504</c:v>
                </c:pt>
                <c:pt idx="73">
                  <c:v>45503</c:v>
                </c:pt>
                <c:pt idx="74">
                  <c:v>45502</c:v>
                </c:pt>
                <c:pt idx="75">
                  <c:v>45499</c:v>
                </c:pt>
                <c:pt idx="76">
                  <c:v>45498</c:v>
                </c:pt>
                <c:pt idx="77">
                  <c:v>45497</c:v>
                </c:pt>
                <c:pt idx="78">
                  <c:v>45496</c:v>
                </c:pt>
                <c:pt idx="79">
                  <c:v>45495</c:v>
                </c:pt>
                <c:pt idx="80">
                  <c:v>45492</c:v>
                </c:pt>
                <c:pt idx="81">
                  <c:v>45491</c:v>
                </c:pt>
                <c:pt idx="82">
                  <c:v>45490</c:v>
                </c:pt>
                <c:pt idx="83">
                  <c:v>45489</c:v>
                </c:pt>
                <c:pt idx="84">
                  <c:v>45488</c:v>
                </c:pt>
                <c:pt idx="85">
                  <c:v>45485</c:v>
                </c:pt>
                <c:pt idx="86">
                  <c:v>45484</c:v>
                </c:pt>
                <c:pt idx="87">
                  <c:v>45483</c:v>
                </c:pt>
                <c:pt idx="88">
                  <c:v>45482</c:v>
                </c:pt>
                <c:pt idx="89">
                  <c:v>45481</c:v>
                </c:pt>
                <c:pt idx="90">
                  <c:v>45478</c:v>
                </c:pt>
                <c:pt idx="91">
                  <c:v>45476</c:v>
                </c:pt>
                <c:pt idx="92">
                  <c:v>45475</c:v>
                </c:pt>
                <c:pt idx="93">
                  <c:v>45474</c:v>
                </c:pt>
                <c:pt idx="94">
                  <c:v>45471</c:v>
                </c:pt>
                <c:pt idx="95">
                  <c:v>45470</c:v>
                </c:pt>
                <c:pt idx="96">
                  <c:v>45469</c:v>
                </c:pt>
                <c:pt idx="97">
                  <c:v>45468</c:v>
                </c:pt>
                <c:pt idx="98">
                  <c:v>45467</c:v>
                </c:pt>
                <c:pt idx="99">
                  <c:v>45464</c:v>
                </c:pt>
                <c:pt idx="100">
                  <c:v>45463</c:v>
                </c:pt>
                <c:pt idx="101">
                  <c:v>45461</c:v>
                </c:pt>
                <c:pt idx="102">
                  <c:v>45460</c:v>
                </c:pt>
                <c:pt idx="103">
                  <c:v>45457</c:v>
                </c:pt>
                <c:pt idx="104">
                  <c:v>45456</c:v>
                </c:pt>
                <c:pt idx="105">
                  <c:v>45455</c:v>
                </c:pt>
                <c:pt idx="106">
                  <c:v>45454</c:v>
                </c:pt>
                <c:pt idx="107">
                  <c:v>45453</c:v>
                </c:pt>
                <c:pt idx="108">
                  <c:v>45450</c:v>
                </c:pt>
                <c:pt idx="109">
                  <c:v>45449</c:v>
                </c:pt>
                <c:pt idx="110">
                  <c:v>45448</c:v>
                </c:pt>
                <c:pt idx="111">
                  <c:v>45447</c:v>
                </c:pt>
                <c:pt idx="112">
                  <c:v>45446</c:v>
                </c:pt>
                <c:pt idx="113">
                  <c:v>45443</c:v>
                </c:pt>
                <c:pt idx="114">
                  <c:v>45442</c:v>
                </c:pt>
                <c:pt idx="115">
                  <c:v>45441</c:v>
                </c:pt>
                <c:pt idx="116">
                  <c:v>45440</c:v>
                </c:pt>
                <c:pt idx="117">
                  <c:v>45436</c:v>
                </c:pt>
                <c:pt idx="118">
                  <c:v>45435</c:v>
                </c:pt>
                <c:pt idx="119">
                  <c:v>45434</c:v>
                </c:pt>
                <c:pt idx="120">
                  <c:v>45433</c:v>
                </c:pt>
                <c:pt idx="121">
                  <c:v>45432</c:v>
                </c:pt>
                <c:pt idx="122">
                  <c:v>45429</c:v>
                </c:pt>
                <c:pt idx="123">
                  <c:v>45428</c:v>
                </c:pt>
                <c:pt idx="124">
                  <c:v>45427</c:v>
                </c:pt>
                <c:pt idx="125">
                  <c:v>45426</c:v>
                </c:pt>
                <c:pt idx="126">
                  <c:v>45425</c:v>
                </c:pt>
                <c:pt idx="127">
                  <c:v>45422</c:v>
                </c:pt>
                <c:pt idx="128">
                  <c:v>45421</c:v>
                </c:pt>
                <c:pt idx="129">
                  <c:v>45420</c:v>
                </c:pt>
                <c:pt idx="130">
                  <c:v>45419</c:v>
                </c:pt>
                <c:pt idx="131">
                  <c:v>45418</c:v>
                </c:pt>
                <c:pt idx="132">
                  <c:v>45415</c:v>
                </c:pt>
                <c:pt idx="133">
                  <c:v>45414</c:v>
                </c:pt>
                <c:pt idx="134">
                  <c:v>45413</c:v>
                </c:pt>
                <c:pt idx="135">
                  <c:v>45412</c:v>
                </c:pt>
                <c:pt idx="136">
                  <c:v>45411</c:v>
                </c:pt>
                <c:pt idx="137">
                  <c:v>45408</c:v>
                </c:pt>
                <c:pt idx="138">
                  <c:v>45407</c:v>
                </c:pt>
                <c:pt idx="139">
                  <c:v>45406</c:v>
                </c:pt>
                <c:pt idx="140">
                  <c:v>45405</c:v>
                </c:pt>
                <c:pt idx="141">
                  <c:v>45404</c:v>
                </c:pt>
                <c:pt idx="142">
                  <c:v>45401</c:v>
                </c:pt>
                <c:pt idx="143">
                  <c:v>45400</c:v>
                </c:pt>
                <c:pt idx="144">
                  <c:v>45399</c:v>
                </c:pt>
                <c:pt idx="145">
                  <c:v>45398</c:v>
                </c:pt>
                <c:pt idx="146">
                  <c:v>45397</c:v>
                </c:pt>
                <c:pt idx="147">
                  <c:v>45394</c:v>
                </c:pt>
                <c:pt idx="148">
                  <c:v>45393</c:v>
                </c:pt>
                <c:pt idx="149">
                  <c:v>45392</c:v>
                </c:pt>
                <c:pt idx="150">
                  <c:v>45391</c:v>
                </c:pt>
                <c:pt idx="151">
                  <c:v>45390</c:v>
                </c:pt>
                <c:pt idx="152">
                  <c:v>45387</c:v>
                </c:pt>
                <c:pt idx="153">
                  <c:v>45386</c:v>
                </c:pt>
                <c:pt idx="154">
                  <c:v>45385</c:v>
                </c:pt>
                <c:pt idx="155">
                  <c:v>45384</c:v>
                </c:pt>
                <c:pt idx="156">
                  <c:v>45383</c:v>
                </c:pt>
                <c:pt idx="157">
                  <c:v>45379</c:v>
                </c:pt>
                <c:pt idx="158">
                  <c:v>45378</c:v>
                </c:pt>
                <c:pt idx="159">
                  <c:v>45377</c:v>
                </c:pt>
                <c:pt idx="160">
                  <c:v>45376</c:v>
                </c:pt>
                <c:pt idx="161">
                  <c:v>45373</c:v>
                </c:pt>
                <c:pt idx="162">
                  <c:v>45372</c:v>
                </c:pt>
                <c:pt idx="163">
                  <c:v>45371</c:v>
                </c:pt>
                <c:pt idx="164">
                  <c:v>45370</c:v>
                </c:pt>
                <c:pt idx="165">
                  <c:v>45369</c:v>
                </c:pt>
                <c:pt idx="166">
                  <c:v>45366</c:v>
                </c:pt>
                <c:pt idx="167">
                  <c:v>45365</c:v>
                </c:pt>
                <c:pt idx="168">
                  <c:v>45364</c:v>
                </c:pt>
                <c:pt idx="169">
                  <c:v>45363</c:v>
                </c:pt>
                <c:pt idx="170">
                  <c:v>45362</c:v>
                </c:pt>
                <c:pt idx="171">
                  <c:v>45359</c:v>
                </c:pt>
                <c:pt idx="172">
                  <c:v>45358</c:v>
                </c:pt>
                <c:pt idx="173">
                  <c:v>45357</c:v>
                </c:pt>
                <c:pt idx="174">
                  <c:v>45356</c:v>
                </c:pt>
                <c:pt idx="175">
                  <c:v>45355</c:v>
                </c:pt>
                <c:pt idx="176">
                  <c:v>45352</c:v>
                </c:pt>
                <c:pt idx="177">
                  <c:v>45351</c:v>
                </c:pt>
                <c:pt idx="178">
                  <c:v>45350</c:v>
                </c:pt>
                <c:pt idx="179">
                  <c:v>45349</c:v>
                </c:pt>
                <c:pt idx="180">
                  <c:v>45348</c:v>
                </c:pt>
                <c:pt idx="181">
                  <c:v>45345</c:v>
                </c:pt>
                <c:pt idx="182">
                  <c:v>45344</c:v>
                </c:pt>
                <c:pt idx="183">
                  <c:v>45343</c:v>
                </c:pt>
                <c:pt idx="184">
                  <c:v>45342</c:v>
                </c:pt>
                <c:pt idx="185">
                  <c:v>45338</c:v>
                </c:pt>
                <c:pt idx="186">
                  <c:v>45337</c:v>
                </c:pt>
                <c:pt idx="187">
                  <c:v>45336</c:v>
                </c:pt>
                <c:pt idx="188">
                  <c:v>45335</c:v>
                </c:pt>
                <c:pt idx="189">
                  <c:v>45334</c:v>
                </c:pt>
                <c:pt idx="190">
                  <c:v>45331</c:v>
                </c:pt>
                <c:pt idx="191">
                  <c:v>45330</c:v>
                </c:pt>
                <c:pt idx="192">
                  <c:v>45329</c:v>
                </c:pt>
                <c:pt idx="193">
                  <c:v>45328</c:v>
                </c:pt>
                <c:pt idx="194">
                  <c:v>45327</c:v>
                </c:pt>
                <c:pt idx="195">
                  <c:v>45324</c:v>
                </c:pt>
                <c:pt idx="196">
                  <c:v>45323</c:v>
                </c:pt>
                <c:pt idx="197">
                  <c:v>45322</c:v>
                </c:pt>
                <c:pt idx="198">
                  <c:v>45321</c:v>
                </c:pt>
                <c:pt idx="199">
                  <c:v>45320</c:v>
                </c:pt>
                <c:pt idx="200">
                  <c:v>45317</c:v>
                </c:pt>
                <c:pt idx="201">
                  <c:v>45316</c:v>
                </c:pt>
                <c:pt idx="202">
                  <c:v>45315</c:v>
                </c:pt>
                <c:pt idx="203">
                  <c:v>45314</c:v>
                </c:pt>
                <c:pt idx="204">
                  <c:v>45313</c:v>
                </c:pt>
                <c:pt idx="205">
                  <c:v>45310</c:v>
                </c:pt>
                <c:pt idx="206">
                  <c:v>45309</c:v>
                </c:pt>
                <c:pt idx="207">
                  <c:v>45308</c:v>
                </c:pt>
                <c:pt idx="208">
                  <c:v>45307</c:v>
                </c:pt>
                <c:pt idx="209">
                  <c:v>45303</c:v>
                </c:pt>
                <c:pt idx="210">
                  <c:v>45302</c:v>
                </c:pt>
                <c:pt idx="211">
                  <c:v>45301</c:v>
                </c:pt>
                <c:pt idx="212">
                  <c:v>45300</c:v>
                </c:pt>
                <c:pt idx="213">
                  <c:v>45299</c:v>
                </c:pt>
                <c:pt idx="214">
                  <c:v>45296</c:v>
                </c:pt>
                <c:pt idx="215">
                  <c:v>45295</c:v>
                </c:pt>
                <c:pt idx="216">
                  <c:v>45294</c:v>
                </c:pt>
                <c:pt idx="217">
                  <c:v>45293</c:v>
                </c:pt>
                <c:pt idx="218">
                  <c:v>45289</c:v>
                </c:pt>
                <c:pt idx="219">
                  <c:v>45288</c:v>
                </c:pt>
                <c:pt idx="220">
                  <c:v>45287</c:v>
                </c:pt>
                <c:pt idx="221">
                  <c:v>45286</c:v>
                </c:pt>
                <c:pt idx="222">
                  <c:v>45282</c:v>
                </c:pt>
                <c:pt idx="223">
                  <c:v>45281</c:v>
                </c:pt>
                <c:pt idx="224">
                  <c:v>45280</c:v>
                </c:pt>
                <c:pt idx="225">
                  <c:v>45279</c:v>
                </c:pt>
                <c:pt idx="226">
                  <c:v>45278</c:v>
                </c:pt>
                <c:pt idx="227">
                  <c:v>45275</c:v>
                </c:pt>
                <c:pt idx="228">
                  <c:v>45274</c:v>
                </c:pt>
                <c:pt idx="229">
                  <c:v>45273</c:v>
                </c:pt>
                <c:pt idx="230">
                  <c:v>45272</c:v>
                </c:pt>
                <c:pt idx="231">
                  <c:v>45271</c:v>
                </c:pt>
                <c:pt idx="232">
                  <c:v>45268</c:v>
                </c:pt>
                <c:pt idx="233">
                  <c:v>45267</c:v>
                </c:pt>
                <c:pt idx="234">
                  <c:v>45266</c:v>
                </c:pt>
                <c:pt idx="235">
                  <c:v>45265</c:v>
                </c:pt>
                <c:pt idx="236">
                  <c:v>45264</c:v>
                </c:pt>
                <c:pt idx="237">
                  <c:v>45261</c:v>
                </c:pt>
                <c:pt idx="238">
                  <c:v>45260</c:v>
                </c:pt>
                <c:pt idx="239">
                  <c:v>45259</c:v>
                </c:pt>
                <c:pt idx="240">
                  <c:v>45258</c:v>
                </c:pt>
                <c:pt idx="241">
                  <c:v>45257</c:v>
                </c:pt>
                <c:pt idx="242">
                  <c:v>45254</c:v>
                </c:pt>
                <c:pt idx="243">
                  <c:v>45252</c:v>
                </c:pt>
                <c:pt idx="244">
                  <c:v>45251</c:v>
                </c:pt>
                <c:pt idx="245">
                  <c:v>45250</c:v>
                </c:pt>
                <c:pt idx="246">
                  <c:v>45247</c:v>
                </c:pt>
                <c:pt idx="247">
                  <c:v>45246</c:v>
                </c:pt>
                <c:pt idx="248">
                  <c:v>45245</c:v>
                </c:pt>
                <c:pt idx="249">
                  <c:v>45244</c:v>
                </c:pt>
                <c:pt idx="250">
                  <c:v>45243</c:v>
                </c:pt>
                <c:pt idx="251">
                  <c:v>45240</c:v>
                </c:pt>
                <c:pt idx="252">
                  <c:v>45239</c:v>
                </c:pt>
                <c:pt idx="253">
                  <c:v>45238</c:v>
                </c:pt>
                <c:pt idx="254">
                  <c:v>45237</c:v>
                </c:pt>
                <c:pt idx="255">
                  <c:v>45236</c:v>
                </c:pt>
                <c:pt idx="256">
                  <c:v>45233</c:v>
                </c:pt>
                <c:pt idx="257">
                  <c:v>45232</c:v>
                </c:pt>
                <c:pt idx="258">
                  <c:v>45231</c:v>
                </c:pt>
                <c:pt idx="259">
                  <c:v>45230</c:v>
                </c:pt>
                <c:pt idx="260">
                  <c:v>45229</c:v>
                </c:pt>
                <c:pt idx="261">
                  <c:v>45226</c:v>
                </c:pt>
                <c:pt idx="262">
                  <c:v>45225</c:v>
                </c:pt>
                <c:pt idx="263">
                  <c:v>45224</c:v>
                </c:pt>
                <c:pt idx="264">
                  <c:v>45223</c:v>
                </c:pt>
                <c:pt idx="265">
                  <c:v>45222</c:v>
                </c:pt>
                <c:pt idx="266">
                  <c:v>45219</c:v>
                </c:pt>
                <c:pt idx="267">
                  <c:v>45218</c:v>
                </c:pt>
                <c:pt idx="268">
                  <c:v>45217</c:v>
                </c:pt>
                <c:pt idx="269">
                  <c:v>45216</c:v>
                </c:pt>
                <c:pt idx="270">
                  <c:v>45215</c:v>
                </c:pt>
                <c:pt idx="271">
                  <c:v>45212</c:v>
                </c:pt>
                <c:pt idx="272">
                  <c:v>45211</c:v>
                </c:pt>
                <c:pt idx="273">
                  <c:v>45210</c:v>
                </c:pt>
                <c:pt idx="274">
                  <c:v>45209</c:v>
                </c:pt>
                <c:pt idx="275">
                  <c:v>45208</c:v>
                </c:pt>
                <c:pt idx="276">
                  <c:v>45205</c:v>
                </c:pt>
                <c:pt idx="277">
                  <c:v>45204</c:v>
                </c:pt>
                <c:pt idx="278">
                  <c:v>45203</c:v>
                </c:pt>
                <c:pt idx="279">
                  <c:v>45202</c:v>
                </c:pt>
                <c:pt idx="280">
                  <c:v>45201</c:v>
                </c:pt>
                <c:pt idx="281">
                  <c:v>45198</c:v>
                </c:pt>
                <c:pt idx="282">
                  <c:v>45197</c:v>
                </c:pt>
                <c:pt idx="283">
                  <c:v>45196</c:v>
                </c:pt>
                <c:pt idx="284">
                  <c:v>45195</c:v>
                </c:pt>
                <c:pt idx="285">
                  <c:v>45194</c:v>
                </c:pt>
                <c:pt idx="286">
                  <c:v>45191</c:v>
                </c:pt>
                <c:pt idx="287">
                  <c:v>45190</c:v>
                </c:pt>
                <c:pt idx="288">
                  <c:v>45189</c:v>
                </c:pt>
                <c:pt idx="289">
                  <c:v>45188</c:v>
                </c:pt>
                <c:pt idx="290">
                  <c:v>45187</c:v>
                </c:pt>
                <c:pt idx="291">
                  <c:v>45184</c:v>
                </c:pt>
                <c:pt idx="292">
                  <c:v>45183</c:v>
                </c:pt>
                <c:pt idx="293">
                  <c:v>45182</c:v>
                </c:pt>
                <c:pt idx="294">
                  <c:v>45181</c:v>
                </c:pt>
                <c:pt idx="295">
                  <c:v>45180</c:v>
                </c:pt>
                <c:pt idx="296">
                  <c:v>45177</c:v>
                </c:pt>
                <c:pt idx="297">
                  <c:v>45176</c:v>
                </c:pt>
                <c:pt idx="298">
                  <c:v>45175</c:v>
                </c:pt>
                <c:pt idx="299">
                  <c:v>45174</c:v>
                </c:pt>
                <c:pt idx="300">
                  <c:v>45170</c:v>
                </c:pt>
                <c:pt idx="301">
                  <c:v>45169</c:v>
                </c:pt>
                <c:pt idx="302">
                  <c:v>45168</c:v>
                </c:pt>
                <c:pt idx="303">
                  <c:v>45167</c:v>
                </c:pt>
                <c:pt idx="304">
                  <c:v>45166</c:v>
                </c:pt>
                <c:pt idx="305">
                  <c:v>45163</c:v>
                </c:pt>
                <c:pt idx="306">
                  <c:v>45162</c:v>
                </c:pt>
                <c:pt idx="307">
                  <c:v>45161</c:v>
                </c:pt>
                <c:pt idx="308">
                  <c:v>45160</c:v>
                </c:pt>
                <c:pt idx="309">
                  <c:v>45159</c:v>
                </c:pt>
                <c:pt idx="310">
                  <c:v>45156</c:v>
                </c:pt>
                <c:pt idx="311">
                  <c:v>45155</c:v>
                </c:pt>
                <c:pt idx="312">
                  <c:v>45154</c:v>
                </c:pt>
                <c:pt idx="313">
                  <c:v>45153</c:v>
                </c:pt>
                <c:pt idx="314">
                  <c:v>45152</c:v>
                </c:pt>
                <c:pt idx="315">
                  <c:v>45149</c:v>
                </c:pt>
                <c:pt idx="316">
                  <c:v>45148</c:v>
                </c:pt>
                <c:pt idx="317">
                  <c:v>45147</c:v>
                </c:pt>
                <c:pt idx="318">
                  <c:v>45146</c:v>
                </c:pt>
                <c:pt idx="319">
                  <c:v>45145</c:v>
                </c:pt>
                <c:pt idx="320">
                  <c:v>45142</c:v>
                </c:pt>
                <c:pt idx="321">
                  <c:v>45141</c:v>
                </c:pt>
                <c:pt idx="322">
                  <c:v>45140</c:v>
                </c:pt>
                <c:pt idx="323">
                  <c:v>45139</c:v>
                </c:pt>
                <c:pt idx="324">
                  <c:v>45138</c:v>
                </c:pt>
                <c:pt idx="325">
                  <c:v>45135</c:v>
                </c:pt>
                <c:pt idx="326">
                  <c:v>45134</c:v>
                </c:pt>
                <c:pt idx="327">
                  <c:v>45133</c:v>
                </c:pt>
                <c:pt idx="328">
                  <c:v>45132</c:v>
                </c:pt>
                <c:pt idx="329">
                  <c:v>45131</c:v>
                </c:pt>
                <c:pt idx="330">
                  <c:v>45128</c:v>
                </c:pt>
                <c:pt idx="331">
                  <c:v>45127</c:v>
                </c:pt>
                <c:pt idx="332">
                  <c:v>45126</c:v>
                </c:pt>
                <c:pt idx="333">
                  <c:v>45125</c:v>
                </c:pt>
                <c:pt idx="334">
                  <c:v>45124</c:v>
                </c:pt>
                <c:pt idx="335">
                  <c:v>45121</c:v>
                </c:pt>
                <c:pt idx="336">
                  <c:v>45120</c:v>
                </c:pt>
                <c:pt idx="337">
                  <c:v>45119</c:v>
                </c:pt>
                <c:pt idx="338">
                  <c:v>45118</c:v>
                </c:pt>
                <c:pt idx="339">
                  <c:v>45117</c:v>
                </c:pt>
                <c:pt idx="340">
                  <c:v>45114</c:v>
                </c:pt>
                <c:pt idx="341">
                  <c:v>45113</c:v>
                </c:pt>
                <c:pt idx="342">
                  <c:v>45112</c:v>
                </c:pt>
                <c:pt idx="343">
                  <c:v>45110</c:v>
                </c:pt>
                <c:pt idx="344">
                  <c:v>45107</c:v>
                </c:pt>
                <c:pt idx="345">
                  <c:v>45106</c:v>
                </c:pt>
                <c:pt idx="346">
                  <c:v>45105</c:v>
                </c:pt>
                <c:pt idx="347">
                  <c:v>45104</c:v>
                </c:pt>
                <c:pt idx="348">
                  <c:v>45103</c:v>
                </c:pt>
                <c:pt idx="349">
                  <c:v>45100</c:v>
                </c:pt>
                <c:pt idx="350">
                  <c:v>45099</c:v>
                </c:pt>
                <c:pt idx="351">
                  <c:v>45098</c:v>
                </c:pt>
                <c:pt idx="352">
                  <c:v>45097</c:v>
                </c:pt>
                <c:pt idx="353">
                  <c:v>45093</c:v>
                </c:pt>
                <c:pt idx="354">
                  <c:v>45092</c:v>
                </c:pt>
                <c:pt idx="355">
                  <c:v>45091</c:v>
                </c:pt>
                <c:pt idx="356">
                  <c:v>45090</c:v>
                </c:pt>
                <c:pt idx="357">
                  <c:v>45089</c:v>
                </c:pt>
                <c:pt idx="358">
                  <c:v>45086</c:v>
                </c:pt>
                <c:pt idx="359">
                  <c:v>45085</c:v>
                </c:pt>
                <c:pt idx="360">
                  <c:v>45084</c:v>
                </c:pt>
                <c:pt idx="361">
                  <c:v>45083</c:v>
                </c:pt>
                <c:pt idx="362">
                  <c:v>45082</c:v>
                </c:pt>
                <c:pt idx="363">
                  <c:v>45079</c:v>
                </c:pt>
                <c:pt idx="364">
                  <c:v>45078</c:v>
                </c:pt>
                <c:pt idx="365">
                  <c:v>45077</c:v>
                </c:pt>
                <c:pt idx="366">
                  <c:v>45076</c:v>
                </c:pt>
                <c:pt idx="367">
                  <c:v>45072</c:v>
                </c:pt>
                <c:pt idx="368">
                  <c:v>45071</c:v>
                </c:pt>
                <c:pt idx="369">
                  <c:v>45070</c:v>
                </c:pt>
                <c:pt idx="370">
                  <c:v>45069</c:v>
                </c:pt>
                <c:pt idx="371">
                  <c:v>45068</c:v>
                </c:pt>
                <c:pt idx="372">
                  <c:v>45065</c:v>
                </c:pt>
                <c:pt idx="373">
                  <c:v>45064</c:v>
                </c:pt>
                <c:pt idx="374">
                  <c:v>45063</c:v>
                </c:pt>
                <c:pt idx="375">
                  <c:v>45062</c:v>
                </c:pt>
                <c:pt idx="376">
                  <c:v>45061</c:v>
                </c:pt>
                <c:pt idx="377">
                  <c:v>45058</c:v>
                </c:pt>
                <c:pt idx="378">
                  <c:v>45057</c:v>
                </c:pt>
                <c:pt idx="379">
                  <c:v>45056</c:v>
                </c:pt>
                <c:pt idx="380">
                  <c:v>45055</c:v>
                </c:pt>
                <c:pt idx="381">
                  <c:v>45054</c:v>
                </c:pt>
                <c:pt idx="382">
                  <c:v>45051</c:v>
                </c:pt>
                <c:pt idx="383">
                  <c:v>45050</c:v>
                </c:pt>
                <c:pt idx="384">
                  <c:v>45049</c:v>
                </c:pt>
                <c:pt idx="385">
                  <c:v>45048</c:v>
                </c:pt>
                <c:pt idx="386">
                  <c:v>45047</c:v>
                </c:pt>
                <c:pt idx="387">
                  <c:v>45044</c:v>
                </c:pt>
                <c:pt idx="388">
                  <c:v>45043</c:v>
                </c:pt>
                <c:pt idx="389">
                  <c:v>45042</c:v>
                </c:pt>
                <c:pt idx="390">
                  <c:v>45041</c:v>
                </c:pt>
                <c:pt idx="391">
                  <c:v>45040</c:v>
                </c:pt>
                <c:pt idx="392">
                  <c:v>45037</c:v>
                </c:pt>
                <c:pt idx="393">
                  <c:v>45036</c:v>
                </c:pt>
                <c:pt idx="394">
                  <c:v>45035</c:v>
                </c:pt>
                <c:pt idx="395">
                  <c:v>45034</c:v>
                </c:pt>
                <c:pt idx="396">
                  <c:v>45033</c:v>
                </c:pt>
                <c:pt idx="397">
                  <c:v>45030</c:v>
                </c:pt>
                <c:pt idx="398">
                  <c:v>45029</c:v>
                </c:pt>
                <c:pt idx="399">
                  <c:v>45028</c:v>
                </c:pt>
                <c:pt idx="400">
                  <c:v>45027</c:v>
                </c:pt>
                <c:pt idx="401">
                  <c:v>45026</c:v>
                </c:pt>
                <c:pt idx="402">
                  <c:v>45022</c:v>
                </c:pt>
                <c:pt idx="403">
                  <c:v>45021</c:v>
                </c:pt>
                <c:pt idx="404">
                  <c:v>45020</c:v>
                </c:pt>
                <c:pt idx="405">
                  <c:v>45019</c:v>
                </c:pt>
                <c:pt idx="406">
                  <c:v>45016</c:v>
                </c:pt>
                <c:pt idx="407">
                  <c:v>45015</c:v>
                </c:pt>
                <c:pt idx="408">
                  <c:v>45014</c:v>
                </c:pt>
                <c:pt idx="409">
                  <c:v>45013</c:v>
                </c:pt>
                <c:pt idx="410">
                  <c:v>45012</c:v>
                </c:pt>
                <c:pt idx="411">
                  <c:v>45009</c:v>
                </c:pt>
                <c:pt idx="412">
                  <c:v>45008</c:v>
                </c:pt>
                <c:pt idx="413">
                  <c:v>45007</c:v>
                </c:pt>
                <c:pt idx="414">
                  <c:v>45006</c:v>
                </c:pt>
                <c:pt idx="415">
                  <c:v>45005</c:v>
                </c:pt>
                <c:pt idx="416">
                  <c:v>45002</c:v>
                </c:pt>
                <c:pt idx="417">
                  <c:v>45001</c:v>
                </c:pt>
                <c:pt idx="418">
                  <c:v>45000</c:v>
                </c:pt>
                <c:pt idx="419">
                  <c:v>44999</c:v>
                </c:pt>
                <c:pt idx="420">
                  <c:v>44998</c:v>
                </c:pt>
                <c:pt idx="421">
                  <c:v>44995</c:v>
                </c:pt>
                <c:pt idx="422">
                  <c:v>44994</c:v>
                </c:pt>
                <c:pt idx="423">
                  <c:v>44993</c:v>
                </c:pt>
                <c:pt idx="424">
                  <c:v>44992</c:v>
                </c:pt>
                <c:pt idx="425">
                  <c:v>44991</c:v>
                </c:pt>
                <c:pt idx="426">
                  <c:v>44988</c:v>
                </c:pt>
                <c:pt idx="427">
                  <c:v>44987</c:v>
                </c:pt>
                <c:pt idx="428">
                  <c:v>44986</c:v>
                </c:pt>
                <c:pt idx="429">
                  <c:v>44985</c:v>
                </c:pt>
                <c:pt idx="430">
                  <c:v>44984</c:v>
                </c:pt>
                <c:pt idx="431">
                  <c:v>44981</c:v>
                </c:pt>
                <c:pt idx="432">
                  <c:v>44980</c:v>
                </c:pt>
                <c:pt idx="433">
                  <c:v>44979</c:v>
                </c:pt>
                <c:pt idx="434">
                  <c:v>44978</c:v>
                </c:pt>
                <c:pt idx="435">
                  <c:v>44974</c:v>
                </c:pt>
                <c:pt idx="436">
                  <c:v>44973</c:v>
                </c:pt>
                <c:pt idx="437">
                  <c:v>44972</c:v>
                </c:pt>
                <c:pt idx="438">
                  <c:v>44971</c:v>
                </c:pt>
                <c:pt idx="439">
                  <c:v>44970</c:v>
                </c:pt>
                <c:pt idx="440">
                  <c:v>44967</c:v>
                </c:pt>
                <c:pt idx="441">
                  <c:v>44966</c:v>
                </c:pt>
                <c:pt idx="442">
                  <c:v>44965</c:v>
                </c:pt>
                <c:pt idx="443">
                  <c:v>44964</c:v>
                </c:pt>
                <c:pt idx="444">
                  <c:v>44963</c:v>
                </c:pt>
                <c:pt idx="445">
                  <c:v>44960</c:v>
                </c:pt>
                <c:pt idx="446">
                  <c:v>44959</c:v>
                </c:pt>
                <c:pt idx="447">
                  <c:v>44958</c:v>
                </c:pt>
                <c:pt idx="448">
                  <c:v>44957</c:v>
                </c:pt>
                <c:pt idx="449">
                  <c:v>44956</c:v>
                </c:pt>
                <c:pt idx="450">
                  <c:v>44953</c:v>
                </c:pt>
                <c:pt idx="451">
                  <c:v>44952</c:v>
                </c:pt>
                <c:pt idx="452">
                  <c:v>44951</c:v>
                </c:pt>
                <c:pt idx="453">
                  <c:v>44950</c:v>
                </c:pt>
                <c:pt idx="454">
                  <c:v>44949</c:v>
                </c:pt>
                <c:pt idx="455">
                  <c:v>44946</c:v>
                </c:pt>
                <c:pt idx="456">
                  <c:v>44945</c:v>
                </c:pt>
                <c:pt idx="457">
                  <c:v>44944</c:v>
                </c:pt>
                <c:pt idx="458">
                  <c:v>44943</c:v>
                </c:pt>
                <c:pt idx="459">
                  <c:v>44939</c:v>
                </c:pt>
                <c:pt idx="460">
                  <c:v>44938</c:v>
                </c:pt>
                <c:pt idx="461">
                  <c:v>44937</c:v>
                </c:pt>
                <c:pt idx="462">
                  <c:v>44936</c:v>
                </c:pt>
                <c:pt idx="463">
                  <c:v>44935</c:v>
                </c:pt>
                <c:pt idx="464">
                  <c:v>44932</c:v>
                </c:pt>
                <c:pt idx="465">
                  <c:v>44931</c:v>
                </c:pt>
                <c:pt idx="466">
                  <c:v>44930</c:v>
                </c:pt>
                <c:pt idx="467">
                  <c:v>44929</c:v>
                </c:pt>
                <c:pt idx="468">
                  <c:v>44925</c:v>
                </c:pt>
                <c:pt idx="469">
                  <c:v>44924</c:v>
                </c:pt>
                <c:pt idx="470">
                  <c:v>44923</c:v>
                </c:pt>
                <c:pt idx="471">
                  <c:v>44922</c:v>
                </c:pt>
                <c:pt idx="472">
                  <c:v>44918</c:v>
                </c:pt>
                <c:pt idx="473">
                  <c:v>44917</c:v>
                </c:pt>
                <c:pt idx="474">
                  <c:v>44916</c:v>
                </c:pt>
                <c:pt idx="475">
                  <c:v>44915</c:v>
                </c:pt>
                <c:pt idx="476">
                  <c:v>44914</c:v>
                </c:pt>
                <c:pt idx="477">
                  <c:v>44911</c:v>
                </c:pt>
                <c:pt idx="478">
                  <c:v>44910</c:v>
                </c:pt>
                <c:pt idx="479">
                  <c:v>44909</c:v>
                </c:pt>
                <c:pt idx="480">
                  <c:v>44908</c:v>
                </c:pt>
                <c:pt idx="481">
                  <c:v>44907</c:v>
                </c:pt>
                <c:pt idx="482">
                  <c:v>44904</c:v>
                </c:pt>
                <c:pt idx="483">
                  <c:v>44903</c:v>
                </c:pt>
                <c:pt idx="484">
                  <c:v>44902</c:v>
                </c:pt>
                <c:pt idx="485">
                  <c:v>44901</c:v>
                </c:pt>
                <c:pt idx="486">
                  <c:v>44900</c:v>
                </c:pt>
                <c:pt idx="487">
                  <c:v>44897</c:v>
                </c:pt>
                <c:pt idx="488">
                  <c:v>44896</c:v>
                </c:pt>
                <c:pt idx="489">
                  <c:v>44895</c:v>
                </c:pt>
                <c:pt idx="490">
                  <c:v>44894</c:v>
                </c:pt>
                <c:pt idx="491">
                  <c:v>44893</c:v>
                </c:pt>
                <c:pt idx="492">
                  <c:v>44890</c:v>
                </c:pt>
                <c:pt idx="493">
                  <c:v>44888</c:v>
                </c:pt>
                <c:pt idx="494">
                  <c:v>44887</c:v>
                </c:pt>
                <c:pt idx="495">
                  <c:v>44886</c:v>
                </c:pt>
                <c:pt idx="496">
                  <c:v>44883</c:v>
                </c:pt>
                <c:pt idx="497">
                  <c:v>44882</c:v>
                </c:pt>
                <c:pt idx="498">
                  <c:v>44881</c:v>
                </c:pt>
                <c:pt idx="499">
                  <c:v>44880</c:v>
                </c:pt>
                <c:pt idx="500">
                  <c:v>44879</c:v>
                </c:pt>
                <c:pt idx="501">
                  <c:v>44876</c:v>
                </c:pt>
                <c:pt idx="502">
                  <c:v>44875</c:v>
                </c:pt>
                <c:pt idx="503">
                  <c:v>44874</c:v>
                </c:pt>
                <c:pt idx="504">
                  <c:v>44873</c:v>
                </c:pt>
                <c:pt idx="505">
                  <c:v>44872</c:v>
                </c:pt>
              </c:numCache>
            </c:numRef>
          </c:cat>
          <c:val>
            <c:numRef>
              <c:f>'PG DAILY DATA'!$G$2:$G$507</c:f>
              <c:numCache>
                <c:formatCode>0.00000</c:formatCode>
                <c:ptCount val="506"/>
                <c:pt idx="0">
                  <c:v>-1.0017291753622365E-2</c:v>
                </c:pt>
                <c:pt idx="1">
                  <c:v>2.6314179058809201E-2</c:v>
                </c:pt>
                <c:pt idx="2">
                  <c:v>1.4653834212977243E-2</c:v>
                </c:pt>
                <c:pt idx="3">
                  <c:v>-2.8414575289575167E-2</c:v>
                </c:pt>
                <c:pt idx="4">
                  <c:v>4.1192149260963068E-3</c:v>
                </c:pt>
                <c:pt idx="5">
                  <c:v>-1.21138703815759E-4</c:v>
                </c:pt>
                <c:pt idx="6">
                  <c:v>-4.8432013560971367E-4</c:v>
                </c:pt>
                <c:pt idx="7">
                  <c:v>-5.8979297063071123E-3</c:v>
                </c:pt>
                <c:pt idx="8">
                  <c:v>-6.041753903212245E-3</c:v>
                </c:pt>
                <c:pt idx="9">
                  <c:v>-1.258121677495584E-2</c:v>
                </c:pt>
                <c:pt idx="10">
                  <c:v>6.4201640708596627E-3</c:v>
                </c:pt>
                <c:pt idx="11">
                  <c:v>-8.2537436623040077E-3</c:v>
                </c:pt>
                <c:pt idx="12">
                  <c:v>2.3587687227262673E-4</c:v>
                </c:pt>
                <c:pt idx="13">
                  <c:v>-7.071302298171841E-4</c:v>
                </c:pt>
                <c:pt idx="14">
                  <c:v>9.4373009319332658E-4</c:v>
                </c:pt>
                <c:pt idx="15">
                  <c:v>-1.0158804297057502E-2</c:v>
                </c:pt>
                <c:pt idx="16">
                  <c:v>-5.8045042953331783E-3</c:v>
                </c:pt>
                <c:pt idx="17">
                  <c:v>-5.8011370228561502E-4</c:v>
                </c:pt>
                <c:pt idx="18">
                  <c:v>-6.8560235063662945E-3</c:v>
                </c:pt>
                <c:pt idx="19">
                  <c:v>6.1445713291983211E-3</c:v>
                </c:pt>
                <c:pt idx="20">
                  <c:v>8.2997252907825551E-3</c:v>
                </c:pt>
                <c:pt idx="21">
                  <c:v>1.2666469369636075E-2</c:v>
                </c:pt>
                <c:pt idx="22">
                  <c:v>-1.8904708453950586E-3</c:v>
                </c:pt>
                <c:pt idx="23">
                  <c:v>6.6008563273074073E-3</c:v>
                </c:pt>
                <c:pt idx="24">
                  <c:v>6.2230732407850169E-3</c:v>
                </c:pt>
                <c:pt idx="25">
                  <c:v>-1.0421601136901888E-2</c:v>
                </c:pt>
                <c:pt idx="26">
                  <c:v>-7.2889724900071073E-3</c:v>
                </c:pt>
                <c:pt idx="27">
                  <c:v>-1.0469986040018515E-2</c:v>
                </c:pt>
                <c:pt idx="28">
                  <c:v>-6.4724919093851396E-3</c:v>
                </c:pt>
                <c:pt idx="29">
                  <c:v>-9.2378752886834064E-4</c:v>
                </c:pt>
                <c:pt idx="30">
                  <c:v>-2.0167098818785522E-3</c:v>
                </c:pt>
                <c:pt idx="31">
                  <c:v>1.9629351654061739E-3</c:v>
                </c:pt>
                <c:pt idx="32">
                  <c:v>5.5149193080228556E-3</c:v>
                </c:pt>
                <c:pt idx="33">
                  <c:v>-5.6568921727084857E-3</c:v>
                </c:pt>
                <c:pt idx="34">
                  <c:v>-3.0500086320999083E-3</c:v>
                </c:pt>
                <c:pt idx="35">
                  <c:v>-2.582941108942651E-3</c:v>
                </c:pt>
                <c:pt idx="36">
                  <c:v>1.5623178267459525E-2</c:v>
                </c:pt>
                <c:pt idx="37">
                  <c:v>-1.3684452621895099E-2</c:v>
                </c:pt>
                <c:pt idx="38">
                  <c:v>-1.1143961792131044E-2</c:v>
                </c:pt>
                <c:pt idx="39">
                  <c:v>-7.6732114646807358E-3</c:v>
                </c:pt>
                <c:pt idx="40">
                  <c:v>1.8152573529411745E-2</c:v>
                </c:pt>
                <c:pt idx="41">
                  <c:v>3.5164581772065121E-3</c:v>
                </c:pt>
                <c:pt idx="42">
                  <c:v>-2.587396504139769E-3</c:v>
                </c:pt>
                <c:pt idx="43">
                  <c:v>-2.1767253501321811E-2</c:v>
                </c:pt>
                <c:pt idx="44">
                  <c:v>9.8261956151311468E-3</c:v>
                </c:pt>
                <c:pt idx="45">
                  <c:v>2.6766900165157404E-3</c:v>
                </c:pt>
                <c:pt idx="46">
                  <c:v>6.8387758591214763E-4</c:v>
                </c:pt>
                <c:pt idx="47">
                  <c:v>-2.444570778851659E-3</c:v>
                </c:pt>
                <c:pt idx="48">
                  <c:v>7.9074031629612386E-3</c:v>
                </c:pt>
                <c:pt idx="49">
                  <c:v>1.737204150635431E-2</c:v>
                </c:pt>
                <c:pt idx="50">
                  <c:v>8.8807857436922367E-3</c:v>
                </c:pt>
                <c:pt idx="51">
                  <c:v>5.7376079498402868E-3</c:v>
                </c:pt>
                <c:pt idx="52">
                  <c:v>-1.1225997045790116E-3</c:v>
                </c:pt>
                <c:pt idx="53">
                  <c:v>-6.4572938068681793E-3</c:v>
                </c:pt>
                <c:pt idx="54">
                  <c:v>6.975232015132748E-3</c:v>
                </c:pt>
                <c:pt idx="55">
                  <c:v>-5.7596238612989603E-3</c:v>
                </c:pt>
                <c:pt idx="56">
                  <c:v>-5.8768218147572316E-5</c:v>
                </c:pt>
                <c:pt idx="57">
                  <c:v>-1.4670500557479021E-3</c:v>
                </c:pt>
                <c:pt idx="58">
                  <c:v>1.1815698848117855E-2</c:v>
                </c:pt>
                <c:pt idx="59">
                  <c:v>3.1568288760498017E-3</c:v>
                </c:pt>
                <c:pt idx="60">
                  <c:v>-1.7865650309671949E-4</c:v>
                </c:pt>
                <c:pt idx="61">
                  <c:v>-5.2132701421802362E-3</c:v>
                </c:pt>
                <c:pt idx="62">
                  <c:v>9.0262418554606927E-3</c:v>
                </c:pt>
                <c:pt idx="63">
                  <c:v>2.8775253282176715E-3</c:v>
                </c:pt>
                <c:pt idx="64">
                  <c:v>-2.1871701653570951E-2</c:v>
                </c:pt>
                <c:pt idx="65">
                  <c:v>-1.9312927956927049E-3</c:v>
                </c:pt>
                <c:pt idx="66">
                  <c:v>4.9994118339018604E-3</c:v>
                </c:pt>
                <c:pt idx="67">
                  <c:v>1.1481944196561407E-2</c:v>
                </c:pt>
                <c:pt idx="68">
                  <c:v>1.7850767583006745E-4</c:v>
                </c:pt>
                <c:pt idx="69">
                  <c:v>-1.1876763875823201E-2</c:v>
                </c:pt>
                <c:pt idx="70">
                  <c:v>2.6495262236707194E-2</c:v>
                </c:pt>
                <c:pt idx="71">
                  <c:v>3.0666832545409351E-2</c:v>
                </c:pt>
                <c:pt idx="72">
                  <c:v>-5.8132343846629426E-3</c:v>
                </c:pt>
                <c:pt idx="73">
                  <c:v>-4.843170717354215E-2</c:v>
                </c:pt>
                <c:pt idx="74">
                  <c:v>4.8489149074566439E-3</c:v>
                </c:pt>
                <c:pt idx="75">
                  <c:v>1.3241461953265476E-2</c:v>
                </c:pt>
                <c:pt idx="76">
                  <c:v>-6.5476190476190139E-3</c:v>
                </c:pt>
                <c:pt idx="77">
                  <c:v>8.2823190493337851E-3</c:v>
                </c:pt>
                <c:pt idx="78">
                  <c:v>-9.6879643387815483E-3</c:v>
                </c:pt>
                <c:pt idx="79">
                  <c:v>1.7266015718027628E-3</c:v>
                </c:pt>
                <c:pt idx="80">
                  <c:v>-2.8496794110661945E-3</c:v>
                </c:pt>
                <c:pt idx="81">
                  <c:v>-5.9017941454202081E-3</c:v>
                </c:pt>
                <c:pt idx="82">
                  <c:v>1.4914645103324404E-2</c:v>
                </c:pt>
                <c:pt idx="83">
                  <c:v>1.4400291651476339E-2</c:v>
                </c:pt>
                <c:pt idx="84">
                  <c:v>-1.2184142608486891E-2</c:v>
                </c:pt>
                <c:pt idx="85">
                  <c:v>6.4636945753293561E-3</c:v>
                </c:pt>
                <c:pt idx="86">
                  <c:v>-7.5539568345324897E-3</c:v>
                </c:pt>
                <c:pt idx="87">
                  <c:v>6.8815646504890426E-3</c:v>
                </c:pt>
                <c:pt idx="88">
                  <c:v>-5.1645447994235743E-3</c:v>
                </c:pt>
                <c:pt idx="89">
                  <c:v>7.929302100357135E-3</c:v>
                </c:pt>
                <c:pt idx="90">
                  <c:v>8.4233656839406423E-3</c:v>
                </c:pt>
                <c:pt idx="91">
                  <c:v>-4.2708968883461366E-4</c:v>
                </c:pt>
                <c:pt idx="92">
                  <c:v>7.2517207472960104E-3</c:v>
                </c:pt>
                <c:pt idx="93">
                  <c:v>-1.333980111569239E-2</c:v>
                </c:pt>
                <c:pt idx="94">
                  <c:v>-1.0202856799904075E-2</c:v>
                </c:pt>
                <c:pt idx="95">
                  <c:v>-4.9567034935800785E-3</c:v>
                </c:pt>
                <c:pt idx="96">
                  <c:v>3.5960443512136312E-3</c:v>
                </c:pt>
                <c:pt idx="97">
                  <c:v>-9.4983674680913892E-3</c:v>
                </c:pt>
                <c:pt idx="98">
                  <c:v>1.129204802091987E-3</c:v>
                </c:pt>
                <c:pt idx="99">
                  <c:v>3.5188167233256005E-3</c:v>
                </c:pt>
                <c:pt idx="100">
                  <c:v>-5.2800189843380087E-3</c:v>
                </c:pt>
                <c:pt idx="101">
                  <c:v>6.3283582089552377E-3</c:v>
                </c:pt>
                <c:pt idx="102">
                  <c:v>4.2568499310510705E-3</c:v>
                </c:pt>
                <c:pt idx="103">
                  <c:v>2.2835166155879784E-3</c:v>
                </c:pt>
                <c:pt idx="104">
                  <c:v>7.4464220849981217E-3</c:v>
                </c:pt>
                <c:pt idx="105">
                  <c:v>-1.3732983042751272E-2</c:v>
                </c:pt>
                <c:pt idx="106">
                  <c:v>7.7681505826110225E-4</c:v>
                </c:pt>
                <c:pt idx="107">
                  <c:v>1.7359032682867954E-3</c:v>
                </c:pt>
                <c:pt idx="108">
                  <c:v>-8.3694426307354217E-3</c:v>
                </c:pt>
                <c:pt idx="109">
                  <c:v>1.4573923517012871E-2</c:v>
                </c:pt>
                <c:pt idx="110">
                  <c:v>-5.7481587928865313E-3</c:v>
                </c:pt>
                <c:pt idx="111">
                  <c:v>1.4333434558153569E-2</c:v>
                </c:pt>
                <c:pt idx="112">
                  <c:v>6.6853044852323838E-4</c:v>
                </c:pt>
                <c:pt idx="113">
                  <c:v>1.2055603395251442E-2</c:v>
                </c:pt>
                <c:pt idx="114">
                  <c:v>5.7531704299412728E-3</c:v>
                </c:pt>
                <c:pt idx="115">
                  <c:v>-8.9510146526884174E-3</c:v>
                </c:pt>
                <c:pt idx="116">
                  <c:v>-1.3427690074396653E-2</c:v>
                </c:pt>
                <c:pt idx="117">
                  <c:v>-9.6682579007792966E-4</c:v>
                </c:pt>
                <c:pt idx="118">
                  <c:v>-1.3825159406471565E-2</c:v>
                </c:pt>
                <c:pt idx="119">
                  <c:v>-3.2076032076031606E-3</c:v>
                </c:pt>
                <c:pt idx="120">
                  <c:v>6.2160062160061683E-3</c:v>
                </c:pt>
                <c:pt idx="121">
                  <c:v>-1.9685039370077794E-3</c:v>
                </c:pt>
                <c:pt idx="122">
                  <c:v>-1.3106159895152345E-3</c:v>
                </c:pt>
                <c:pt idx="123">
                  <c:v>8.1076211638941974E-3</c:v>
                </c:pt>
                <c:pt idx="124">
                  <c:v>4.5246138996139001E-3</c:v>
                </c:pt>
                <c:pt idx="125">
                  <c:v>-6.6316995237242205E-4</c:v>
                </c:pt>
                <c:pt idx="126">
                  <c:v>-5.8735391069822587E-3</c:v>
                </c:pt>
                <c:pt idx="127">
                  <c:v>4.8783425680559043E-3</c:v>
                </c:pt>
                <c:pt idx="128">
                  <c:v>5.8762949051917304E-3</c:v>
                </c:pt>
                <c:pt idx="129">
                  <c:v>-4.1626447876447741E-3</c:v>
                </c:pt>
                <c:pt idx="130">
                  <c:v>8.0272439795669743E-3</c:v>
                </c:pt>
                <c:pt idx="131">
                  <c:v>-1.2161011796187663E-4</c:v>
                </c:pt>
                <c:pt idx="132">
                  <c:v>3.7841796875000278E-3</c:v>
                </c:pt>
                <c:pt idx="133">
                  <c:v>2.6927784577723238E-3</c:v>
                </c:pt>
                <c:pt idx="134">
                  <c:v>1.2254901960785359E-3</c:v>
                </c:pt>
                <c:pt idx="135">
                  <c:v>9.5261660274650016E-3</c:v>
                </c:pt>
                <c:pt idx="136">
                  <c:v>2.2940045880092044E-3</c:v>
                </c:pt>
                <c:pt idx="137">
                  <c:v>-7.7514610888958424E-3</c:v>
                </c:pt>
                <c:pt idx="138">
                  <c:v>-3.0750307503064542E-4</c:v>
                </c:pt>
                <c:pt idx="139">
                  <c:v>6.8111455108358782E-3</c:v>
                </c:pt>
                <c:pt idx="140">
                  <c:v>5.9798181138657532E-3</c:v>
                </c:pt>
                <c:pt idx="141">
                  <c:v>1.5176425951688414E-2</c:v>
                </c:pt>
                <c:pt idx="142">
                  <c:v>5.4040307711869439E-3</c:v>
                </c:pt>
                <c:pt idx="143">
                  <c:v>2.1024464831803265E-3</c:v>
                </c:pt>
                <c:pt idx="144">
                  <c:v>6.4764347547292041E-3</c:v>
                </c:pt>
                <c:pt idx="145">
                  <c:v>3.2164683177870702E-3</c:v>
                </c:pt>
                <c:pt idx="146">
                  <c:v>7.7254876714077199E-4</c:v>
                </c:pt>
                <c:pt idx="147">
                  <c:v>-3.2725872689937812E-3</c:v>
                </c:pt>
                <c:pt idx="148">
                  <c:v>-8.9035868735691023E-3</c:v>
                </c:pt>
                <c:pt idx="149">
                  <c:v>3.702285203625766E-3</c:v>
                </c:pt>
                <c:pt idx="150">
                  <c:v>3.9733401691874172E-3</c:v>
                </c:pt>
                <c:pt idx="151">
                  <c:v>-3.8436899423447969E-4</c:v>
                </c:pt>
                <c:pt idx="152">
                  <c:v>4.1814088131232278E-3</c:v>
                </c:pt>
                <c:pt idx="153">
                  <c:v>-4.482869036183266E-3</c:v>
                </c:pt>
                <c:pt idx="154">
                  <c:v>-2.7526935293018546E-2</c:v>
                </c:pt>
                <c:pt idx="155">
                  <c:v>-6.2274255822763276E-5</c:v>
                </c:pt>
                <c:pt idx="156">
                  <c:v>-1.0292758089368182E-2</c:v>
                </c:pt>
                <c:pt idx="157">
                  <c:v>-2.213885984871863E-3</c:v>
                </c:pt>
                <c:pt idx="158">
                  <c:v>1.2830893802553735E-2</c:v>
                </c:pt>
                <c:pt idx="159">
                  <c:v>2.2473312940883552E-3</c:v>
                </c:pt>
                <c:pt idx="160">
                  <c:v>-9.0931584807620869E-3</c:v>
                </c:pt>
                <c:pt idx="161">
                  <c:v>-1.2356357345855494E-3</c:v>
                </c:pt>
                <c:pt idx="162">
                  <c:v>-8.0251867399219366E-4</c:v>
                </c:pt>
                <c:pt idx="163">
                  <c:v>9.8869183711299859E-4</c:v>
                </c:pt>
                <c:pt idx="164">
                  <c:v>3.8459152658023976E-3</c:v>
                </c:pt>
                <c:pt idx="165">
                  <c:v>-1.0534143016482061E-3</c:v>
                </c:pt>
                <c:pt idx="166">
                  <c:v>-7.4303405572758233E-4</c:v>
                </c:pt>
                <c:pt idx="167">
                  <c:v>-4.9291435613062927E-3</c:v>
                </c:pt>
                <c:pt idx="168">
                  <c:v>2.2849379361452758E-3</c:v>
                </c:pt>
                <c:pt idx="169">
                  <c:v>2.3522129371711261E-3</c:v>
                </c:pt>
                <c:pt idx="170">
                  <c:v>7.4836295603368701E-3</c:v>
                </c:pt>
                <c:pt idx="171">
                  <c:v>-1.6809861785581511E-3</c:v>
                </c:pt>
                <c:pt idx="172">
                  <c:v>6.5801842451589359E-3</c:v>
                </c:pt>
                <c:pt idx="173">
                  <c:v>1.5691689681144867E-3</c:v>
                </c:pt>
                <c:pt idx="174">
                  <c:v>-1.5041363750313932E-3</c:v>
                </c:pt>
                <c:pt idx="175">
                  <c:v>4.4696254327982873E-3</c:v>
                </c:pt>
                <c:pt idx="176">
                  <c:v>-5.6625141562856058E-4</c:v>
                </c:pt>
                <c:pt idx="177">
                  <c:v>-6.9353327085286695E-3</c:v>
                </c:pt>
                <c:pt idx="178">
                  <c:v>4.7080979284369112E-3</c:v>
                </c:pt>
                <c:pt idx="179">
                  <c:v>-5.742104606166443E-3</c:v>
                </c:pt>
                <c:pt idx="180">
                  <c:v>-5.0301186114388762E-3</c:v>
                </c:pt>
                <c:pt idx="181">
                  <c:v>2.9272546088689516E-3</c:v>
                </c:pt>
                <c:pt idx="182">
                  <c:v>9.9750623441394377E-4</c:v>
                </c:pt>
                <c:pt idx="183">
                  <c:v>1.1923537947132768E-2</c:v>
                </c:pt>
                <c:pt idx="184">
                  <c:v>6.3488032505872646E-3</c:v>
                </c:pt>
                <c:pt idx="185">
                  <c:v>3.1845105407298899E-3</c:v>
                </c:pt>
                <c:pt idx="186">
                  <c:v>8.8671849900404508E-3</c:v>
                </c:pt>
                <c:pt idx="187">
                  <c:v>-4.0954757791003696E-3</c:v>
                </c:pt>
                <c:pt idx="188">
                  <c:v>-5.3465724651518259E-3</c:v>
                </c:pt>
                <c:pt idx="189">
                  <c:v>-1.9692542243677671E-3</c:v>
                </c:pt>
                <c:pt idx="190">
                  <c:v>-7.6903681290973209E-3</c:v>
                </c:pt>
                <c:pt idx="191">
                  <c:v>-3.0165912518854837E-3</c:v>
                </c:pt>
                <c:pt idx="192">
                  <c:v>1.0065425264217198E-3</c:v>
                </c:pt>
                <c:pt idx="193">
                  <c:v>4.7405347323178056E-3</c:v>
                </c:pt>
                <c:pt idx="194">
                  <c:v>7.590612941995354E-4</c:v>
                </c:pt>
                <c:pt idx="195">
                  <c:v>-6.8475939188340452E-3</c:v>
                </c:pt>
                <c:pt idx="196">
                  <c:v>1.2982054219167753E-2</c:v>
                </c:pt>
                <c:pt idx="197">
                  <c:v>-2.222363324655678E-3</c:v>
                </c:pt>
                <c:pt idx="198">
                  <c:v>8.5169057377049977E-3</c:v>
                </c:pt>
                <c:pt idx="199">
                  <c:v>1.2809017548360595E-4</c:v>
                </c:pt>
                <c:pt idx="200">
                  <c:v>3.3414728184036871E-3</c:v>
                </c:pt>
                <c:pt idx="201">
                  <c:v>2.3008151459374179E-2</c:v>
                </c:pt>
                <c:pt idx="202">
                  <c:v>-1.2079490842966525E-2</c:v>
                </c:pt>
                <c:pt idx="203">
                  <c:v>4.1390504531313238E-2</c:v>
                </c:pt>
                <c:pt idx="204">
                  <c:v>1.9651690723048077E-3</c:v>
                </c:pt>
                <c:pt idx="205">
                  <c:v>-3.8477116241392821E-3</c:v>
                </c:pt>
                <c:pt idx="206">
                  <c:v>-1.2004801920768384E-2</c:v>
                </c:pt>
                <c:pt idx="207">
                  <c:v>1.001401962747885E-3</c:v>
                </c:pt>
                <c:pt idx="208">
                  <c:v>-5.3784860557769074E-3</c:v>
                </c:pt>
                <c:pt idx="209">
                  <c:v>5.9796691249753122E-4</c:v>
                </c:pt>
                <c:pt idx="210">
                  <c:v>3.8015206082432518E-3</c:v>
                </c:pt>
                <c:pt idx="211">
                  <c:v>4.2866711319490044E-3</c:v>
                </c:pt>
                <c:pt idx="212">
                  <c:v>4.1024951240837557E-3</c:v>
                </c:pt>
                <c:pt idx="213">
                  <c:v>8.6148419481753523E-3</c:v>
                </c:pt>
                <c:pt idx="214">
                  <c:v>-8.2744702320889218E-3</c:v>
                </c:pt>
                <c:pt idx="215">
                  <c:v>5.4788961038961187E-3</c:v>
                </c:pt>
                <c:pt idx="216">
                  <c:v>-6.0508269463493726E-3</c:v>
                </c:pt>
                <c:pt idx="217">
                  <c:v>1.5012965743141921E-2</c:v>
                </c:pt>
                <c:pt idx="218">
                  <c:v>5.5582241130858598E-3</c:v>
                </c:pt>
                <c:pt idx="219">
                  <c:v>-2.2593454744626353E-3</c:v>
                </c:pt>
                <c:pt idx="220">
                  <c:v>8.2225572152942684E-4</c:v>
                </c:pt>
                <c:pt idx="221">
                  <c:v>4.5429515418501966E-3</c:v>
                </c:pt>
                <c:pt idx="222">
                  <c:v>7.0705670317483035E-3</c:v>
                </c:pt>
                <c:pt idx="223">
                  <c:v>2.4320756028072708E-3</c:v>
                </c:pt>
                <c:pt idx="224">
                  <c:v>-1.5461448997742294E-2</c:v>
                </c:pt>
                <c:pt idx="225">
                  <c:v>0</c:v>
                </c:pt>
                <c:pt idx="226">
                  <c:v>1.5351486524034312E-2</c:v>
                </c:pt>
                <c:pt idx="227">
                  <c:v>-4.8389326697082027E-3</c:v>
                </c:pt>
                <c:pt idx="228">
                  <c:v>-2.6383093283079927E-2</c:v>
                </c:pt>
                <c:pt idx="229">
                  <c:v>1.8089625873646806E-2</c:v>
                </c:pt>
                <c:pt idx="230">
                  <c:v>8.2293238238927819E-4</c:v>
                </c:pt>
                <c:pt idx="231">
                  <c:v>4.6159145711332237E-3</c:v>
                </c:pt>
                <c:pt idx="232">
                  <c:v>-9.2150170648463772E-3</c:v>
                </c:pt>
                <c:pt idx="233">
                  <c:v>-1.0228435049437824E-3</c:v>
                </c:pt>
                <c:pt idx="234">
                  <c:v>-7.4952303079848202E-4</c:v>
                </c:pt>
                <c:pt idx="235">
                  <c:v>-3.4854662633171191E-2</c:v>
                </c:pt>
                <c:pt idx="236">
                  <c:v>-3.9303026333027272E-3</c:v>
                </c:pt>
                <c:pt idx="237">
                  <c:v>-5.6018759770714802E-3</c:v>
                </c:pt>
                <c:pt idx="238">
                  <c:v>1.581419969562638E-2</c:v>
                </c:pt>
                <c:pt idx="239">
                  <c:v>-7.6170464245846519E-3</c:v>
                </c:pt>
                <c:pt idx="240">
                  <c:v>6.9426077757205953E-3</c:v>
                </c:pt>
                <c:pt idx="241">
                  <c:v>-9.2482494384982402E-4</c:v>
                </c:pt>
                <c:pt idx="242">
                  <c:v>2.3837902264599734E-3</c:v>
                </c:pt>
                <c:pt idx="243">
                  <c:v>9.4245037096450535E-3</c:v>
                </c:pt>
                <c:pt idx="244">
                  <c:v>-4.3920942303852838E-3</c:v>
                </c:pt>
                <c:pt idx="245">
                  <c:v>-5.2955583504334615E-3</c:v>
                </c:pt>
                <c:pt idx="246">
                  <c:v>-1.1516063600078645E-2</c:v>
                </c:pt>
                <c:pt idx="247">
                  <c:v>9.3118478404439643E-3</c:v>
                </c:pt>
                <c:pt idx="248">
                  <c:v>-4.6016302918749476E-3</c:v>
                </c:pt>
                <c:pt idx="249">
                  <c:v>-2.2300931391840704E-3</c:v>
                </c:pt>
                <c:pt idx="250">
                  <c:v>6.9348127600555535E-3</c:v>
                </c:pt>
                <c:pt idx="251">
                  <c:v>7.0502161622880101E-3</c:v>
                </c:pt>
                <c:pt idx="252">
                  <c:v>2.2665155656289809E-3</c:v>
                </c:pt>
                <c:pt idx="253">
                  <c:v>-3.8515173650309617E-3</c:v>
                </c:pt>
                <c:pt idx="254">
                  <c:v>-2.3188021730488561E-3</c:v>
                </c:pt>
                <c:pt idx="255">
                  <c:v>5.797294595855298E-3</c:v>
                </c:pt>
                <c:pt idx="256">
                  <c:v>-9.0464870575805902E-3</c:v>
                </c:pt>
                <c:pt idx="257">
                  <c:v>1.2231802686986057E-2</c:v>
                </c:pt>
                <c:pt idx="258">
                  <c:v>-2.7994401119775213E-3</c:v>
                </c:pt>
                <c:pt idx="259">
                  <c:v>5.158783331100163E-3</c:v>
                </c:pt>
                <c:pt idx="260">
                  <c:v>1.4270182114705045E-2</c:v>
                </c:pt>
                <c:pt idx="261">
                  <c:v>-1.762349799732987E-2</c:v>
                </c:pt>
                <c:pt idx="262">
                  <c:v>-5.3120849933597806E-3</c:v>
                </c:pt>
                <c:pt idx="263">
                  <c:v>4.6697798532354144E-3</c:v>
                </c:pt>
                <c:pt idx="264">
                  <c:v>1.181235234559568E-2</c:v>
                </c:pt>
                <c:pt idx="265">
                  <c:v>6.7544748395808381E-4</c:v>
                </c:pt>
                <c:pt idx="266">
                  <c:v>-1.3490725126474781E-3</c:v>
                </c:pt>
                <c:pt idx="267">
                  <c:v>-1.1864293807905093E-2</c:v>
                </c:pt>
                <c:pt idx="268">
                  <c:v>2.5776015315192195E-2</c:v>
                </c:pt>
                <c:pt idx="269">
                  <c:v>1.3007462175669044E-3</c:v>
                </c:pt>
                <c:pt idx="270">
                  <c:v>9.5376321791415825E-3</c:v>
                </c:pt>
                <c:pt idx="271">
                  <c:v>9.5590287468602046E-3</c:v>
                </c:pt>
                <c:pt idx="272">
                  <c:v>2.2377622377621901E-3</c:v>
                </c:pt>
                <c:pt idx="273">
                  <c:v>-1.2294515817101817E-2</c:v>
                </c:pt>
                <c:pt idx="274">
                  <c:v>9.9051339285713396E-3</c:v>
                </c:pt>
                <c:pt idx="275">
                  <c:v>-5.0662780206814475E-3</c:v>
                </c:pt>
                <c:pt idx="276">
                  <c:v>2.0166898470096802E-3</c:v>
                </c:pt>
                <c:pt idx="277">
                  <c:v>-1.4866068370212973E-2</c:v>
                </c:pt>
                <c:pt idx="278">
                  <c:v>3.2991958210185561E-3</c:v>
                </c:pt>
                <c:pt idx="279">
                  <c:v>2.0662580067498547E-3</c:v>
                </c:pt>
                <c:pt idx="280">
                  <c:v>-4.5934457699164672E-3</c:v>
                </c:pt>
                <c:pt idx="281">
                  <c:v>-3.2800328003279333E-3</c:v>
                </c:pt>
                <c:pt idx="282">
                  <c:v>-6.787023211619384E-3</c:v>
                </c:pt>
                <c:pt idx="283">
                  <c:v>-1.3260112510045472E-2</c:v>
                </c:pt>
                <c:pt idx="284">
                  <c:v>-8.8941988583565879E-3</c:v>
                </c:pt>
                <c:pt idx="285">
                  <c:v>-6.0694022958174944E-3</c:v>
                </c:pt>
                <c:pt idx="286">
                  <c:v>-3.6808202970946098E-3</c:v>
                </c:pt>
                <c:pt idx="287">
                  <c:v>-8.6661888316935717E-3</c:v>
                </c:pt>
                <c:pt idx="288">
                  <c:v>-8.463541666666371E-4</c:v>
                </c:pt>
                <c:pt idx="289">
                  <c:v>-2.9211295034080949E-3</c:v>
                </c:pt>
                <c:pt idx="290">
                  <c:v>3.7792402423927314E-3</c:v>
                </c:pt>
                <c:pt idx="291">
                  <c:v>-8.3995606383666811E-3</c:v>
                </c:pt>
                <c:pt idx="292">
                  <c:v>1.097393689986287E-2</c:v>
                </c:pt>
                <c:pt idx="293">
                  <c:v>6.972308097086116E-3</c:v>
                </c:pt>
                <c:pt idx="294">
                  <c:v>-1.7576736672051688E-2</c:v>
                </c:pt>
                <c:pt idx="295">
                  <c:v>1.190086967893803E-2</c:v>
                </c:pt>
                <c:pt idx="296">
                  <c:v>-4.2971547626798395E-3</c:v>
                </c:pt>
                <c:pt idx="297">
                  <c:v>9.5306954121205292E-3</c:v>
                </c:pt>
                <c:pt idx="298">
                  <c:v>-1.9679874048806833E-3</c:v>
                </c:pt>
                <c:pt idx="299">
                  <c:v>-1.3397191120315793E-2</c:v>
                </c:pt>
                <c:pt idx="300">
                  <c:v>1.1014642995982084E-3</c:v>
                </c:pt>
                <c:pt idx="301">
                  <c:v>1.9475460919242495E-3</c:v>
                </c:pt>
                <c:pt idx="302">
                  <c:v>1.1048287515434295E-3</c:v>
                </c:pt>
                <c:pt idx="303">
                  <c:v>5.8525165821305379E-4</c:v>
                </c:pt>
                <c:pt idx="304">
                  <c:v>1.5631105900743071E-3</c:v>
                </c:pt>
                <c:pt idx="305">
                  <c:v>6.555657532450505E-3</c:v>
                </c:pt>
                <c:pt idx="306">
                  <c:v>-4.6329526916803129E-3</c:v>
                </c:pt>
                <c:pt idx="307">
                  <c:v>9.352565369162796E-3</c:v>
                </c:pt>
                <c:pt idx="308">
                  <c:v>3.9533504645188289E-4</c:v>
                </c:pt>
                <c:pt idx="309">
                  <c:v>-5.0478562999867697E-3</c:v>
                </c:pt>
                <c:pt idx="310">
                  <c:v>2.8269015843795831E-3</c:v>
                </c:pt>
                <c:pt idx="311">
                  <c:v>-7.1796880099209859E-3</c:v>
                </c:pt>
                <c:pt idx="312">
                  <c:v>-1.0207377737579845E-2</c:v>
                </c:pt>
                <c:pt idx="313">
                  <c:v>-6.4188972334552931E-3</c:v>
                </c:pt>
                <c:pt idx="314">
                  <c:v>-7.8333970194880784E-3</c:v>
                </c:pt>
                <c:pt idx="315">
                  <c:v>5.8292229837934566E-3</c:v>
                </c:pt>
                <c:pt idx="316">
                  <c:v>-4.9716361782138618E-3</c:v>
                </c:pt>
                <c:pt idx="317">
                  <c:v>-1.2731555159463813E-3</c:v>
                </c:pt>
                <c:pt idx="318">
                  <c:v>1.0833545755800148E-3</c:v>
                </c:pt>
                <c:pt idx="319">
                  <c:v>1.0561566202988062E-2</c:v>
                </c:pt>
                <c:pt idx="320">
                  <c:v>-1.0955414012738847E-2</c:v>
                </c:pt>
                <c:pt idx="321">
                  <c:v>2.6183025735998251E-3</c:v>
                </c:pt>
                <c:pt idx="322">
                  <c:v>2.1760000000000217E-3</c:v>
                </c:pt>
                <c:pt idx="323">
                  <c:v>-3.1989763275759033E-4</c:v>
                </c:pt>
                <c:pt idx="324">
                  <c:v>-7.0327984144226852E-4</c:v>
                </c:pt>
                <c:pt idx="325">
                  <c:v>2.8269015843797138E-2</c:v>
                </c:pt>
                <c:pt idx="326">
                  <c:v>-1.1887748473431103E-2</c:v>
                </c:pt>
                <c:pt idx="327">
                  <c:v>1.0404473923787006E-3</c:v>
                </c:pt>
                <c:pt idx="328">
                  <c:v>2.3464998044584388E-3</c:v>
                </c:pt>
                <c:pt idx="329">
                  <c:v>3.2040802981755092E-3</c:v>
                </c:pt>
                <c:pt idx="330">
                  <c:v>1.5741232731137117E-2</c:v>
                </c:pt>
                <c:pt idx="331">
                  <c:v>1.7965267150177008E-3</c:v>
                </c:pt>
                <c:pt idx="332">
                  <c:v>6.8332551751857824E-3</c:v>
                </c:pt>
                <c:pt idx="333">
                  <c:v>1.8793207597825432E-3</c:v>
                </c:pt>
                <c:pt idx="334">
                  <c:v>-7.0643118960346694E-3</c:v>
                </c:pt>
                <c:pt idx="335">
                  <c:v>7.3850285330649404E-3</c:v>
                </c:pt>
                <c:pt idx="336">
                  <c:v>6.718172657036904E-4</c:v>
                </c:pt>
                <c:pt idx="337">
                  <c:v>5.1998919502970137E-3</c:v>
                </c:pt>
                <c:pt idx="338">
                  <c:v>-5.2398226521563956E-3</c:v>
                </c:pt>
                <c:pt idx="339">
                  <c:v>4.0322580645162814E-4</c:v>
                </c:pt>
                <c:pt idx="340">
                  <c:v>-2.0988222909401919E-2</c:v>
                </c:pt>
                <c:pt idx="341">
                  <c:v>-1.6421439831844455E-3</c:v>
                </c:pt>
                <c:pt idx="342">
                  <c:v>-1.7049180327868257E-3</c:v>
                </c:pt>
                <c:pt idx="343">
                  <c:v>5.0085672861472971E-3</c:v>
                </c:pt>
                <c:pt idx="344">
                  <c:v>1.5798634355335479E-2</c:v>
                </c:pt>
                <c:pt idx="345">
                  <c:v>-4.0669377958531478E-3</c:v>
                </c:pt>
                <c:pt idx="346">
                  <c:v>-1.9997333688842245E-4</c:v>
                </c:pt>
                <c:pt idx="347">
                  <c:v>9.4879214050198266E-3</c:v>
                </c:pt>
                <c:pt idx="348">
                  <c:v>1.0103731644887895E-3</c:v>
                </c:pt>
                <c:pt idx="349">
                  <c:v>-9.9366455485160442E-3</c:v>
                </c:pt>
                <c:pt idx="350">
                  <c:v>3.4127408993575407E-3</c:v>
                </c:pt>
                <c:pt idx="351">
                  <c:v>8.6393088552915841E-3</c:v>
                </c:pt>
                <c:pt idx="352">
                  <c:v>-9.2283001203691019E-3</c:v>
                </c:pt>
                <c:pt idx="353">
                  <c:v>7.342539575614709E-3</c:v>
                </c:pt>
                <c:pt idx="354">
                  <c:v>1.3864226198606756E-2</c:v>
                </c:pt>
                <c:pt idx="355">
                  <c:v>9.3754308561973341E-3</c:v>
                </c:pt>
                <c:pt idx="356">
                  <c:v>-2.4069871398115284E-3</c:v>
                </c:pt>
                <c:pt idx="357">
                  <c:v>-7.8466157205240566E-3</c:v>
                </c:pt>
                <c:pt idx="358">
                  <c:v>8.1944823818631894E-4</c:v>
                </c:pt>
                <c:pt idx="359">
                  <c:v>1.1325966850828635E-2</c:v>
                </c:pt>
                <c:pt idx="360">
                  <c:v>2.145477195653694E-3</c:v>
                </c:pt>
                <c:pt idx="361">
                  <c:v>-9.9355899684801189E-3</c:v>
                </c:pt>
                <c:pt idx="362">
                  <c:v>-3.9585039585040439E-3</c:v>
                </c:pt>
                <c:pt idx="363">
                  <c:v>1.778271742150599E-2</c:v>
                </c:pt>
                <c:pt idx="364">
                  <c:v>1.0245614035087775E-2</c:v>
                </c:pt>
                <c:pt idx="365">
                  <c:v>-4.7492666573544264E-3</c:v>
                </c:pt>
                <c:pt idx="366">
                  <c:v>-1.5268225584594215E-2</c:v>
                </c:pt>
                <c:pt idx="367">
                  <c:v>6.8780521356484814E-5</c:v>
                </c:pt>
                <c:pt idx="368">
                  <c:v>-6.4238365338619976E-3</c:v>
                </c:pt>
                <c:pt idx="369">
                  <c:v>-8.2683835987800661E-3</c:v>
                </c:pt>
                <c:pt idx="370">
                  <c:v>-1.0793778492893438E-2</c:v>
                </c:pt>
                <c:pt idx="371">
                  <c:v>-2.6180061369719863E-2</c:v>
                </c:pt>
                <c:pt idx="372">
                  <c:v>4.1958958893331564E-3</c:v>
                </c:pt>
                <c:pt idx="373">
                  <c:v>-1.6443126128449906E-2</c:v>
                </c:pt>
                <c:pt idx="374">
                  <c:v>-4.2378322845768365E-3</c:v>
                </c:pt>
                <c:pt idx="375">
                  <c:v>-1.7306582911350672E-3</c:v>
                </c:pt>
                <c:pt idx="376">
                  <c:v>3.2059502436511248E-4</c:v>
                </c:pt>
                <c:pt idx="377">
                  <c:v>1.0169052399766966E-2</c:v>
                </c:pt>
                <c:pt idx="378">
                  <c:v>2.3372070375899841E-3</c:v>
                </c:pt>
                <c:pt idx="379">
                  <c:v>2.0818424305509933E-3</c:v>
                </c:pt>
                <c:pt idx="380">
                  <c:v>-1.0238248551191265E-2</c:v>
                </c:pt>
                <c:pt idx="381">
                  <c:v>-4.6785874511311269E-3</c:v>
                </c:pt>
                <c:pt idx="382">
                  <c:v>3.3438364092341988E-3</c:v>
                </c:pt>
                <c:pt idx="383">
                  <c:v>-4.60858989950713E-3</c:v>
                </c:pt>
                <c:pt idx="384">
                  <c:v>-1.2785271367385862E-3</c:v>
                </c:pt>
                <c:pt idx="385">
                  <c:v>-8.9416874241544594E-4</c:v>
                </c:pt>
                <c:pt idx="386">
                  <c:v>1.2149891290446203E-3</c:v>
                </c:pt>
                <c:pt idx="387">
                  <c:v>-5.7519013229375218E-4</c:v>
                </c:pt>
                <c:pt idx="388">
                  <c:v>1.2226678742398668E-2</c:v>
                </c:pt>
                <c:pt idx="389">
                  <c:v>-1.1573630027495199E-2</c:v>
                </c:pt>
                <c:pt idx="390">
                  <c:v>2.5583626479048317E-4</c:v>
                </c:pt>
                <c:pt idx="391">
                  <c:v>1.7940667649131875E-3</c:v>
                </c:pt>
                <c:pt idx="392">
                  <c:v>3.4603911170036451E-2</c:v>
                </c:pt>
                <c:pt idx="393">
                  <c:v>-2.5786828881249322E-3</c:v>
                </c:pt>
                <c:pt idx="394">
                  <c:v>1.9839957674757711E-4</c:v>
                </c:pt>
                <c:pt idx="395">
                  <c:v>1.0592519033432411E-3</c:v>
                </c:pt>
                <c:pt idx="396">
                  <c:v>3.3112582781464483E-4</c:v>
                </c:pt>
                <c:pt idx="397">
                  <c:v>-5.0734664294657056E-3</c:v>
                </c:pt>
                <c:pt idx="398">
                  <c:v>4.6336135566294899E-3</c:v>
                </c:pt>
                <c:pt idx="399">
                  <c:v>2.7213593521837024E-3</c:v>
                </c:pt>
                <c:pt idx="400">
                  <c:v>-1.9872813990461802E-3</c:v>
                </c:pt>
                <c:pt idx="401">
                  <c:v>-8.2774931020890216E-3</c:v>
                </c:pt>
                <c:pt idx="402">
                  <c:v>6.3466878222927939E-3</c:v>
                </c:pt>
                <c:pt idx="403">
                  <c:v>6.8561538973573935E-3</c:v>
                </c:pt>
                <c:pt idx="404">
                  <c:v>4.8157313892047285E-3</c:v>
                </c:pt>
                <c:pt idx="405">
                  <c:v>5.5148295110632401E-3</c:v>
                </c:pt>
                <c:pt idx="406">
                  <c:v>8.4096303831808009E-3</c:v>
                </c:pt>
                <c:pt idx="407">
                  <c:v>4.3593760643007035E-3</c:v>
                </c:pt>
                <c:pt idx="408">
                  <c:v>3.0746105493303401E-3</c:v>
                </c:pt>
                <c:pt idx="409">
                  <c:v>2.8091812264475851E-3</c:v>
                </c:pt>
                <c:pt idx="410">
                  <c:v>-5.2480916030535046E-3</c:v>
                </c:pt>
                <c:pt idx="411">
                  <c:v>2.0376938591000815E-2</c:v>
                </c:pt>
                <c:pt idx="412">
                  <c:v>-1.3889853462047159E-3</c:v>
                </c:pt>
                <c:pt idx="413">
                  <c:v>-6.2465297057192812E-4</c:v>
                </c:pt>
                <c:pt idx="414">
                  <c:v>-7.2348928546818918E-3</c:v>
                </c:pt>
                <c:pt idx="415">
                  <c:v>1.5392150003498136E-2</c:v>
                </c:pt>
                <c:pt idx="416">
                  <c:v>2.7993561480873727E-4</c:v>
                </c:pt>
                <c:pt idx="417">
                  <c:v>7.4737361630118713E-3</c:v>
                </c:pt>
                <c:pt idx="418">
                  <c:v>1.4158026456918257E-2</c:v>
                </c:pt>
                <c:pt idx="419">
                  <c:v>1.2378746199507804E-2</c:v>
                </c:pt>
                <c:pt idx="420">
                  <c:v>6.9247029666884511E-3</c:v>
                </c:pt>
                <c:pt idx="421">
                  <c:v>4.5397964413854035E-3</c:v>
                </c:pt>
                <c:pt idx="422">
                  <c:v>-7.3411833115279782E-3</c:v>
                </c:pt>
                <c:pt idx="423">
                  <c:v>1.4539110206462802E-4</c:v>
                </c:pt>
                <c:pt idx="424">
                  <c:v>-1.9878874242963963E-2</c:v>
                </c:pt>
                <c:pt idx="425">
                  <c:v>-4.2568286626462884E-3</c:v>
                </c:pt>
                <c:pt idx="426">
                  <c:v>7.2893589651967542E-3</c:v>
                </c:pt>
                <c:pt idx="427">
                  <c:v>1.6489902658724468E-2</c:v>
                </c:pt>
                <c:pt idx="428">
                  <c:v>7.2695551032272694E-4</c:v>
                </c:pt>
                <c:pt idx="429">
                  <c:v>-1.1355469311484722E-2</c:v>
                </c:pt>
                <c:pt idx="430">
                  <c:v>-8.6169754416203187E-4</c:v>
                </c:pt>
                <c:pt idx="431">
                  <c:v>-5.6408425562300638E-3</c:v>
                </c:pt>
                <c:pt idx="432">
                  <c:v>-3.2028469750888869E-3</c:v>
                </c:pt>
                <c:pt idx="433">
                  <c:v>4.2169966406976154E-3</c:v>
                </c:pt>
                <c:pt idx="434">
                  <c:v>-7.1423469752156504E-4</c:v>
                </c:pt>
                <c:pt idx="435">
                  <c:v>2.0927519323319273E-2</c:v>
                </c:pt>
                <c:pt idx="436">
                  <c:v>-1.3097294185377242E-2</c:v>
                </c:pt>
                <c:pt idx="437">
                  <c:v>-2.2975301550832365E-3</c:v>
                </c:pt>
                <c:pt idx="438">
                  <c:v>-5.6400371242949386E-3</c:v>
                </c:pt>
                <c:pt idx="439">
                  <c:v>1.3091277303630858E-2</c:v>
                </c:pt>
                <c:pt idx="440">
                  <c:v>8.8288945640275767E-3</c:v>
                </c:pt>
                <c:pt idx="441">
                  <c:v>-1.0969185249332337E-2</c:v>
                </c:pt>
                <c:pt idx="442">
                  <c:v>-1.0355663476646314E-2</c:v>
                </c:pt>
                <c:pt idx="443">
                  <c:v>-9.7595473833097263E-3</c:v>
                </c:pt>
                <c:pt idx="444">
                  <c:v>-8.4846784937943186E-3</c:v>
                </c:pt>
                <c:pt idx="445">
                  <c:v>3.0948864036015066E-3</c:v>
                </c:pt>
                <c:pt idx="446">
                  <c:v>-7.1234024722397534E-3</c:v>
                </c:pt>
                <c:pt idx="447">
                  <c:v>5.6890012642225197E-3</c:v>
                </c:pt>
                <c:pt idx="448">
                  <c:v>9.7156230054606385E-3</c:v>
                </c:pt>
                <c:pt idx="449">
                  <c:v>3.1301131109055828E-3</c:v>
                </c:pt>
                <c:pt idx="450">
                  <c:v>-4.1091037902941021E-3</c:v>
                </c:pt>
                <c:pt idx="451">
                  <c:v>-4.0220152413208664E-3</c:v>
                </c:pt>
                <c:pt idx="452">
                  <c:v>-7.0511916513886844E-4</c:v>
                </c:pt>
                <c:pt idx="453">
                  <c:v>5.4590570719601685E-3</c:v>
                </c:pt>
                <c:pt idx="454">
                  <c:v>-1.3429390781282699E-2</c:v>
                </c:pt>
                <c:pt idx="455">
                  <c:v>3.8618171605112445E-3</c:v>
                </c:pt>
                <c:pt idx="456">
                  <c:v>-2.7252236869066384E-2</c:v>
                </c:pt>
                <c:pt idx="457">
                  <c:v>-2.6788088274395116E-2</c:v>
                </c:pt>
                <c:pt idx="458">
                  <c:v>-2.9162248144220422E-3</c:v>
                </c:pt>
                <c:pt idx="459">
                  <c:v>7.1423803484413134E-3</c:v>
                </c:pt>
                <c:pt idx="460">
                  <c:v>-5.6418425594052454E-3</c:v>
                </c:pt>
                <c:pt idx="461">
                  <c:v>-8.0979656330238316E-3</c:v>
                </c:pt>
                <c:pt idx="462">
                  <c:v>-9.8658247829522283E-4</c:v>
                </c:pt>
                <c:pt idx="463">
                  <c:v>-1.2214137214137185E-2</c:v>
                </c:pt>
                <c:pt idx="464">
                  <c:v>2.381269123320463E-2</c:v>
                </c:pt>
                <c:pt idx="465">
                  <c:v>-1.2415424029429065E-2</c:v>
                </c:pt>
                <c:pt idx="466">
                  <c:v>4.3544236986210773E-3</c:v>
                </c:pt>
                <c:pt idx="467">
                  <c:v>6.5980469780884836E-5</c:v>
                </c:pt>
                <c:pt idx="468">
                  <c:v>-6.7501146864145821E-3</c:v>
                </c:pt>
                <c:pt idx="469">
                  <c:v>4.1458278494340313E-3</c:v>
                </c:pt>
                <c:pt idx="470">
                  <c:v>-1.2926274764533814E-2</c:v>
                </c:pt>
                <c:pt idx="471">
                  <c:v>8.7144541999736869E-3</c:v>
                </c:pt>
                <c:pt idx="472">
                  <c:v>2.8254155989224446E-3</c:v>
                </c:pt>
                <c:pt idx="473">
                  <c:v>2.3050579557428496E-3</c:v>
                </c:pt>
                <c:pt idx="474">
                  <c:v>9.1718729230359924E-3</c:v>
                </c:pt>
                <c:pt idx="475">
                  <c:v>3.9893617021278106E-4</c:v>
                </c:pt>
                <c:pt idx="476">
                  <c:v>-2.6588673225200774E-4</c:v>
                </c:pt>
                <c:pt idx="477">
                  <c:v>-4.4338561312951882E-3</c:v>
                </c:pt>
                <c:pt idx="478">
                  <c:v>-1.1319026432870909E-2</c:v>
                </c:pt>
                <c:pt idx="479">
                  <c:v>3.9411455596426318E-3</c:v>
                </c:pt>
                <c:pt idx="480">
                  <c:v>-1.5084934741259905E-3</c:v>
                </c:pt>
                <c:pt idx="481">
                  <c:v>1.027034190299504E-2</c:v>
                </c:pt>
                <c:pt idx="482">
                  <c:v>-2.6434047052604132E-3</c:v>
                </c:pt>
                <c:pt idx="483">
                  <c:v>7.1884984025558044E-3</c:v>
                </c:pt>
                <c:pt idx="484">
                  <c:v>6.4308681672026252E-3</c:v>
                </c:pt>
                <c:pt idx="485">
                  <c:v>1.2743980146220251E-3</c:v>
                </c:pt>
                <c:pt idx="486">
                  <c:v>-1.0092291348516101E-2</c:v>
                </c:pt>
                <c:pt idx="487">
                  <c:v>9.1122278056952333E-3</c:v>
                </c:pt>
                <c:pt idx="488">
                  <c:v>6.033789219630156E-4</c:v>
                </c:pt>
                <c:pt idx="489">
                  <c:v>2.5295573274676981E-2</c:v>
                </c:pt>
                <c:pt idx="490">
                  <c:v>-7.6398362892224052E-3</c:v>
                </c:pt>
                <c:pt idx="491">
                  <c:v>-8.178844056706962E-4</c:v>
                </c:pt>
                <c:pt idx="492">
                  <c:v>1.8436326391260516E-3</c:v>
                </c:pt>
                <c:pt idx="493">
                  <c:v>5.699766515588409E-3</c:v>
                </c:pt>
                <c:pt idx="494">
                  <c:v>8.5884471533454014E-3</c:v>
                </c:pt>
                <c:pt idx="495">
                  <c:v>1.2695517991162253E-2</c:v>
                </c:pt>
                <c:pt idx="496">
                  <c:v>1.206786398807403E-2</c:v>
                </c:pt>
                <c:pt idx="497">
                  <c:v>-6.1379991533794592E-3</c:v>
                </c:pt>
                <c:pt idx="498">
                  <c:v>8.8974304220940988E-3</c:v>
                </c:pt>
                <c:pt idx="499">
                  <c:v>-3.4756703078449476E-3</c:v>
                </c:pt>
                <c:pt idx="500">
                  <c:v>7.0937078811030037E-5</c:v>
                </c:pt>
                <c:pt idx="501">
                  <c:v>-1.4874628134297207E-3</c:v>
                </c:pt>
                <c:pt idx="502">
                  <c:v>3.4437280187573395E-2</c:v>
                </c:pt>
                <c:pt idx="503">
                  <c:v>-2.4121043783350083E-3</c:v>
                </c:pt>
                <c:pt idx="504">
                  <c:v>2.2710622710622875E-3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8-4CAF-B550-D8963BE82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918128"/>
        <c:axId val="1134921488"/>
      </c:lineChart>
      <c:dateAx>
        <c:axId val="1134918128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21488"/>
        <c:crosses val="autoZero"/>
        <c:auto val="1"/>
        <c:lblOffset val="100"/>
        <c:baseTimeUnit val="days"/>
      </c:dateAx>
      <c:valAx>
        <c:axId val="113492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1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10</xdr:row>
      <xdr:rowOff>6350</xdr:rowOff>
    </xdr:from>
    <xdr:to>
      <xdr:col>11</xdr:col>
      <xdr:colOff>593586</xdr:colOff>
      <xdr:row>25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B0D2AC-AFDC-4B07-92C7-8DADEA54B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7"/>
  <sheetViews>
    <sheetView zoomScale="71" zoomScaleNormal="100" workbookViewId="0">
      <pane ySplit="1" topLeftCell="A2" activePane="bottomLeft" state="frozen"/>
      <selection pane="bottomLeft" activeCell="I1" sqref="I1"/>
    </sheetView>
  </sheetViews>
  <sheetFormatPr defaultColWidth="8.6328125" defaultRowHeight="14.5" x14ac:dyDescent="0.35"/>
  <cols>
    <col min="1" max="1" width="13" customWidth="1"/>
    <col min="2" max="5" width="10" customWidth="1"/>
    <col min="6" max="6" width="12" customWidth="1"/>
    <col min="7" max="7" width="16" customWidth="1"/>
    <col min="9" max="9" width="77.1796875" bestFit="1" customWidth="1"/>
  </cols>
  <sheetData>
    <row r="1" spans="1:9" ht="27.7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8" t="s">
        <v>7</v>
      </c>
    </row>
    <row r="2" spans="1:9" ht="15" customHeight="1" x14ac:dyDescent="0.35">
      <c r="A2" s="3">
        <v>45607</v>
      </c>
      <c r="B2" s="4">
        <v>167</v>
      </c>
      <c r="C2" s="4">
        <v>168.52</v>
      </c>
      <c r="D2" s="4">
        <v>165.78</v>
      </c>
      <c r="E2" s="4">
        <v>166.03</v>
      </c>
      <c r="F2" s="4">
        <v>166.03</v>
      </c>
      <c r="G2" s="13">
        <f t="shared" ref="G2:G65" si="0">(F2-F3)/F3</f>
        <v>-1.0017291753622365E-2</v>
      </c>
    </row>
    <row r="3" spans="1:9" ht="15" customHeight="1" x14ac:dyDescent="0.35">
      <c r="A3" s="3">
        <v>45604</v>
      </c>
      <c r="B3" s="4">
        <v>164.02</v>
      </c>
      <c r="C3" s="4">
        <v>167.75</v>
      </c>
      <c r="D3" s="4">
        <v>163.93</v>
      </c>
      <c r="E3" s="4">
        <v>167.71</v>
      </c>
      <c r="F3" s="4">
        <v>167.71</v>
      </c>
      <c r="G3" s="13">
        <f t="shared" si="0"/>
        <v>2.6314179058809201E-2</v>
      </c>
    </row>
    <row r="4" spans="1:9" x14ac:dyDescent="0.35">
      <c r="A4" s="3">
        <v>45603</v>
      </c>
      <c r="B4" s="4">
        <v>161.96</v>
      </c>
      <c r="C4" s="4">
        <v>163.95</v>
      </c>
      <c r="D4" s="4">
        <v>161.47999999999999</v>
      </c>
      <c r="E4" s="4">
        <v>163.41</v>
      </c>
      <c r="F4" s="4">
        <v>163.41</v>
      </c>
      <c r="G4" s="13">
        <f t="shared" si="0"/>
        <v>1.4653834212977243E-2</v>
      </c>
      <c r="I4" s="5" t="s">
        <v>90</v>
      </c>
    </row>
    <row r="5" spans="1:9" ht="14.5" customHeight="1" x14ac:dyDescent="0.35">
      <c r="A5" s="3">
        <v>45602</v>
      </c>
      <c r="B5" s="4">
        <v>165.61</v>
      </c>
      <c r="C5" s="4">
        <v>166.04</v>
      </c>
      <c r="D5" s="4">
        <v>159.81</v>
      </c>
      <c r="E5" s="4">
        <v>161.05000000000001</v>
      </c>
      <c r="F5" s="4">
        <v>161.05000000000001</v>
      </c>
      <c r="G5" s="13">
        <f t="shared" si="0"/>
        <v>-2.8414575289575167E-2</v>
      </c>
      <c r="I5" s="5" t="s">
        <v>91</v>
      </c>
    </row>
    <row r="6" spans="1:9" ht="15" customHeight="1" x14ac:dyDescent="0.35">
      <c r="A6" s="3">
        <v>45601</v>
      </c>
      <c r="B6" s="4">
        <v>164.33</v>
      </c>
      <c r="C6" s="4">
        <v>166.32</v>
      </c>
      <c r="D6" s="4">
        <v>164.33</v>
      </c>
      <c r="E6" s="4">
        <v>165.76</v>
      </c>
      <c r="F6" s="4">
        <v>165.76</v>
      </c>
      <c r="G6" s="13">
        <f t="shared" si="0"/>
        <v>4.1192149260963068E-3</v>
      </c>
    </row>
    <row r="7" spans="1:9" ht="27.75" customHeight="1" x14ac:dyDescent="0.35">
      <c r="A7" s="3">
        <v>45600</v>
      </c>
      <c r="B7" s="4">
        <v>165.72</v>
      </c>
      <c r="C7" s="4">
        <v>166.27</v>
      </c>
      <c r="D7" s="4">
        <v>164.58</v>
      </c>
      <c r="E7" s="4">
        <v>165.08</v>
      </c>
      <c r="F7" s="4">
        <v>165.08</v>
      </c>
      <c r="G7" s="13">
        <f t="shared" si="0"/>
        <v>-1.21138703815759E-4</v>
      </c>
      <c r="I7" s="2" t="s">
        <v>8</v>
      </c>
    </row>
    <row r="8" spans="1:9" ht="15" customHeight="1" x14ac:dyDescent="0.35">
      <c r="A8" s="3">
        <v>45597</v>
      </c>
      <c r="B8" s="4">
        <v>165.31</v>
      </c>
      <c r="C8" s="4">
        <v>166.35</v>
      </c>
      <c r="D8" s="4">
        <v>164.99</v>
      </c>
      <c r="E8" s="4">
        <v>165.1</v>
      </c>
      <c r="F8" s="4">
        <v>165.1</v>
      </c>
      <c r="G8" s="13">
        <f t="shared" si="0"/>
        <v>-4.8432013560971367E-4</v>
      </c>
      <c r="I8" s="5" t="s">
        <v>9</v>
      </c>
    </row>
    <row r="9" spans="1:9" ht="15" customHeight="1" x14ac:dyDescent="0.35">
      <c r="A9" s="3">
        <v>45596</v>
      </c>
      <c r="B9" s="4">
        <v>165.76</v>
      </c>
      <c r="C9" s="4">
        <v>167.04</v>
      </c>
      <c r="D9" s="4">
        <v>165.09</v>
      </c>
      <c r="E9" s="4">
        <v>165.18</v>
      </c>
      <c r="F9" s="4">
        <v>165.18</v>
      </c>
      <c r="G9" s="13">
        <f t="shared" si="0"/>
        <v>-5.8979297063071123E-3</v>
      </c>
    </row>
    <row r="10" spans="1:9" ht="15" customHeight="1" x14ac:dyDescent="0.35">
      <c r="A10" s="3">
        <v>45595</v>
      </c>
      <c r="B10" s="4">
        <v>167.09</v>
      </c>
      <c r="C10" s="4">
        <v>167.32</v>
      </c>
      <c r="D10" s="4">
        <v>165.96</v>
      </c>
      <c r="E10" s="4">
        <v>166.16</v>
      </c>
      <c r="F10" s="4">
        <v>166.16</v>
      </c>
      <c r="G10" s="13">
        <f t="shared" si="0"/>
        <v>-6.041753903212245E-3</v>
      </c>
    </row>
    <row r="11" spans="1:9" ht="15" customHeight="1" x14ac:dyDescent="0.35">
      <c r="A11" s="3">
        <v>45594</v>
      </c>
      <c r="B11" s="4">
        <v>168.86</v>
      </c>
      <c r="C11" s="4">
        <v>168.86</v>
      </c>
      <c r="D11" s="4">
        <v>166.83</v>
      </c>
      <c r="E11" s="4">
        <v>167.17</v>
      </c>
      <c r="F11" s="4">
        <v>167.17</v>
      </c>
      <c r="G11" s="13">
        <f t="shared" si="0"/>
        <v>-1.258121677495584E-2</v>
      </c>
    </row>
    <row r="12" spans="1:9" ht="15" customHeight="1" x14ac:dyDescent="0.35">
      <c r="A12" s="3">
        <v>45593</v>
      </c>
      <c r="B12" s="4">
        <v>169.28</v>
      </c>
      <c r="C12" s="4">
        <v>169.66</v>
      </c>
      <c r="D12" s="4">
        <v>168.38</v>
      </c>
      <c r="E12" s="4">
        <v>169.3</v>
      </c>
      <c r="F12" s="4">
        <v>169.3</v>
      </c>
      <c r="G12" s="13">
        <f t="shared" si="0"/>
        <v>6.4201640708596627E-3</v>
      </c>
    </row>
    <row r="13" spans="1:9" ht="15" customHeight="1" x14ac:dyDescent="0.35">
      <c r="A13" s="3">
        <v>45590</v>
      </c>
      <c r="B13" s="4">
        <v>168.92</v>
      </c>
      <c r="C13" s="4">
        <v>169.4</v>
      </c>
      <c r="D13" s="4">
        <v>168.04</v>
      </c>
      <c r="E13" s="4">
        <v>168.22</v>
      </c>
      <c r="F13" s="4">
        <v>168.22</v>
      </c>
      <c r="G13" s="13">
        <f t="shared" si="0"/>
        <v>-8.2537436623040077E-3</v>
      </c>
    </row>
    <row r="14" spans="1:9" ht="15" customHeight="1" x14ac:dyDescent="0.35">
      <c r="A14" s="3">
        <v>45589</v>
      </c>
      <c r="B14" s="4">
        <v>169.42</v>
      </c>
      <c r="C14" s="4">
        <v>169.96</v>
      </c>
      <c r="D14" s="4">
        <v>168.93</v>
      </c>
      <c r="E14" s="4">
        <v>169.62</v>
      </c>
      <c r="F14" s="4">
        <v>169.62</v>
      </c>
      <c r="G14" s="13">
        <f t="shared" si="0"/>
        <v>2.3587687227262673E-4</v>
      </c>
    </row>
    <row r="15" spans="1:9" ht="15" customHeight="1" x14ac:dyDescent="0.35">
      <c r="A15" s="3">
        <v>45588</v>
      </c>
      <c r="B15" s="4">
        <v>169.55</v>
      </c>
      <c r="C15" s="4">
        <v>170.17</v>
      </c>
      <c r="D15" s="4">
        <v>168.73</v>
      </c>
      <c r="E15" s="4">
        <v>169.58</v>
      </c>
      <c r="F15" s="4">
        <v>169.58</v>
      </c>
      <c r="G15" s="13">
        <f t="shared" si="0"/>
        <v>-7.071302298171841E-4</v>
      </c>
    </row>
    <row r="16" spans="1:9" ht="15" customHeight="1" x14ac:dyDescent="0.35">
      <c r="A16" s="3">
        <v>45587</v>
      </c>
      <c r="B16" s="4">
        <v>168.57</v>
      </c>
      <c r="C16" s="4">
        <v>170.73</v>
      </c>
      <c r="D16" s="4">
        <v>168.57</v>
      </c>
      <c r="E16" s="4">
        <v>169.7</v>
      </c>
      <c r="F16" s="4">
        <v>169.7</v>
      </c>
      <c r="G16" s="13">
        <f t="shared" si="0"/>
        <v>9.4373009319332658E-4</v>
      </c>
    </row>
    <row r="17" spans="1:7" ht="15" customHeight="1" x14ac:dyDescent="0.35">
      <c r="A17" s="3">
        <v>45586</v>
      </c>
      <c r="B17" s="4">
        <v>170.98</v>
      </c>
      <c r="C17" s="4">
        <v>171.48</v>
      </c>
      <c r="D17" s="4">
        <v>168.45</v>
      </c>
      <c r="E17" s="4">
        <v>169.54</v>
      </c>
      <c r="F17" s="4">
        <v>169.54</v>
      </c>
      <c r="G17" s="13">
        <f t="shared" si="0"/>
        <v>-1.0158804297057502E-2</v>
      </c>
    </row>
    <row r="18" spans="1:7" ht="15" customHeight="1" x14ac:dyDescent="0.35">
      <c r="A18" s="3">
        <v>45583</v>
      </c>
      <c r="B18" s="4">
        <v>170.3</v>
      </c>
      <c r="C18" s="4">
        <v>172.21</v>
      </c>
      <c r="D18" s="4">
        <v>168.46</v>
      </c>
      <c r="E18" s="4">
        <v>171.28</v>
      </c>
      <c r="F18" s="4">
        <v>171.28</v>
      </c>
      <c r="G18" s="13">
        <f t="shared" si="0"/>
        <v>-5.8045042953331783E-3</v>
      </c>
    </row>
    <row r="19" spans="1:7" ht="15" customHeight="1" x14ac:dyDescent="0.35">
      <c r="A19" s="3">
        <v>45582</v>
      </c>
      <c r="B19" s="4">
        <v>172.18</v>
      </c>
      <c r="C19" s="4">
        <v>173.68</v>
      </c>
      <c r="D19" s="4">
        <v>171.76</v>
      </c>
      <c r="E19" s="4">
        <v>172.28</v>
      </c>
      <c r="F19" s="4">
        <v>172.28</v>
      </c>
      <c r="G19" s="13">
        <f t="shared" si="0"/>
        <v>-5.8011370228561502E-4</v>
      </c>
    </row>
    <row r="20" spans="1:7" ht="15" customHeight="1" x14ac:dyDescent="0.35">
      <c r="A20" s="3">
        <v>45581</v>
      </c>
      <c r="B20" s="4">
        <v>171.88</v>
      </c>
      <c r="C20" s="4">
        <v>172.59</v>
      </c>
      <c r="D20" s="4">
        <v>170.89</v>
      </c>
      <c r="E20" s="4">
        <v>172.38</v>
      </c>
      <c r="F20" s="4">
        <v>172.38</v>
      </c>
      <c r="G20" s="13">
        <f t="shared" si="0"/>
        <v>-6.8560235063662945E-3</v>
      </c>
    </row>
    <row r="21" spans="1:7" ht="15" customHeight="1" x14ac:dyDescent="0.35">
      <c r="A21" s="3">
        <v>45580</v>
      </c>
      <c r="B21" s="4">
        <v>172.89</v>
      </c>
      <c r="C21" s="4">
        <v>174.91</v>
      </c>
      <c r="D21" s="4">
        <v>172.82</v>
      </c>
      <c r="E21" s="4">
        <v>173.57</v>
      </c>
      <c r="F21" s="4">
        <v>173.57</v>
      </c>
      <c r="G21" s="13">
        <f t="shared" si="0"/>
        <v>6.1445713291983211E-3</v>
      </c>
    </row>
    <row r="22" spans="1:7" ht="15" customHeight="1" x14ac:dyDescent="0.35">
      <c r="A22" s="3">
        <v>45579</v>
      </c>
      <c r="B22" s="4">
        <v>171.02</v>
      </c>
      <c r="C22" s="4">
        <v>172.84</v>
      </c>
      <c r="D22" s="4">
        <v>170.74</v>
      </c>
      <c r="E22" s="4">
        <v>172.51</v>
      </c>
      <c r="F22" s="4">
        <v>172.51</v>
      </c>
      <c r="G22" s="13">
        <f t="shared" si="0"/>
        <v>8.2997252907825551E-3</v>
      </c>
    </row>
    <row r="23" spans="1:7" ht="15" customHeight="1" x14ac:dyDescent="0.35">
      <c r="A23" s="3">
        <v>45576</v>
      </c>
      <c r="B23" s="4">
        <v>169.46</v>
      </c>
      <c r="C23" s="4">
        <v>171.41</v>
      </c>
      <c r="D23" s="4">
        <v>168.97</v>
      </c>
      <c r="E23" s="4">
        <v>171.09</v>
      </c>
      <c r="F23" s="4">
        <v>171.09</v>
      </c>
      <c r="G23" s="13">
        <f t="shared" si="0"/>
        <v>1.2666469369636075E-2</v>
      </c>
    </row>
    <row r="24" spans="1:7" ht="15" customHeight="1" x14ac:dyDescent="0.35">
      <c r="A24" s="3">
        <v>45575</v>
      </c>
      <c r="B24" s="4">
        <v>168.8</v>
      </c>
      <c r="C24" s="4">
        <v>169.79</v>
      </c>
      <c r="D24" s="4">
        <v>168.37</v>
      </c>
      <c r="E24" s="4">
        <v>168.95</v>
      </c>
      <c r="F24" s="4">
        <v>168.95</v>
      </c>
      <c r="G24" s="13">
        <f t="shared" si="0"/>
        <v>-1.8904708453950586E-3</v>
      </c>
    </row>
    <row r="25" spans="1:7" ht="15" customHeight="1" x14ac:dyDescent="0.35">
      <c r="A25" s="3">
        <v>45574</v>
      </c>
      <c r="B25" s="4">
        <v>168.38</v>
      </c>
      <c r="C25" s="4">
        <v>169.81</v>
      </c>
      <c r="D25" s="4">
        <v>168</v>
      </c>
      <c r="E25" s="4">
        <v>169.27</v>
      </c>
      <c r="F25" s="4">
        <v>169.27</v>
      </c>
      <c r="G25" s="13">
        <f t="shared" si="0"/>
        <v>6.6008563273074073E-3</v>
      </c>
    </row>
    <row r="26" spans="1:7" ht="15" customHeight="1" x14ac:dyDescent="0.35">
      <c r="A26" s="3">
        <v>45573</v>
      </c>
      <c r="B26" s="4">
        <v>166.85</v>
      </c>
      <c r="C26" s="4">
        <v>168.59</v>
      </c>
      <c r="D26" s="4">
        <v>166.27</v>
      </c>
      <c r="E26" s="4">
        <v>168.16</v>
      </c>
      <c r="F26" s="4">
        <v>168.16</v>
      </c>
      <c r="G26" s="13">
        <f t="shared" si="0"/>
        <v>6.2230732407850169E-3</v>
      </c>
    </row>
    <row r="27" spans="1:7" ht="15" customHeight="1" x14ac:dyDescent="0.35">
      <c r="A27" s="3">
        <v>45572</v>
      </c>
      <c r="B27" s="4">
        <v>169.16</v>
      </c>
      <c r="C27" s="4">
        <v>169.58</v>
      </c>
      <c r="D27" s="4">
        <v>166.87</v>
      </c>
      <c r="E27" s="4">
        <v>167.12</v>
      </c>
      <c r="F27" s="4">
        <v>167.12</v>
      </c>
      <c r="G27" s="13">
        <f t="shared" si="0"/>
        <v>-1.0421601136901888E-2</v>
      </c>
    </row>
    <row r="28" spans="1:7" ht="15" customHeight="1" x14ac:dyDescent="0.35">
      <c r="A28" s="3">
        <v>45569</v>
      </c>
      <c r="B28" s="4">
        <v>168.85</v>
      </c>
      <c r="C28" s="4">
        <v>170.09</v>
      </c>
      <c r="D28" s="4">
        <v>168.26</v>
      </c>
      <c r="E28" s="4">
        <v>168.88</v>
      </c>
      <c r="F28" s="4">
        <v>168.88</v>
      </c>
      <c r="G28" s="13">
        <f t="shared" si="0"/>
        <v>-7.2889724900071073E-3</v>
      </c>
    </row>
    <row r="29" spans="1:7" ht="15" customHeight="1" x14ac:dyDescent="0.35">
      <c r="A29" s="3">
        <v>45568</v>
      </c>
      <c r="B29" s="4">
        <v>171.37</v>
      </c>
      <c r="C29" s="4">
        <v>171.37</v>
      </c>
      <c r="D29" s="4">
        <v>169.77</v>
      </c>
      <c r="E29" s="4">
        <v>170.12</v>
      </c>
      <c r="F29" s="4">
        <v>170.12</v>
      </c>
      <c r="G29" s="13">
        <f t="shared" si="0"/>
        <v>-1.0469986040018515E-2</v>
      </c>
    </row>
    <row r="30" spans="1:7" ht="15" customHeight="1" x14ac:dyDescent="0.35">
      <c r="A30" s="3">
        <v>45567</v>
      </c>
      <c r="B30" s="4">
        <v>172.01</v>
      </c>
      <c r="C30" s="4">
        <v>172.45</v>
      </c>
      <c r="D30" s="4">
        <v>171.08</v>
      </c>
      <c r="E30" s="4">
        <v>171.92</v>
      </c>
      <c r="F30" s="4">
        <v>171.92</v>
      </c>
      <c r="G30" s="13">
        <f t="shared" si="0"/>
        <v>-6.4724919093851396E-3</v>
      </c>
    </row>
    <row r="31" spans="1:7" ht="15" customHeight="1" x14ac:dyDescent="0.35">
      <c r="A31" s="3">
        <v>45566</v>
      </c>
      <c r="B31" s="4">
        <v>173.24</v>
      </c>
      <c r="C31" s="4">
        <v>174</v>
      </c>
      <c r="D31" s="4">
        <v>172.2</v>
      </c>
      <c r="E31" s="4">
        <v>173.04</v>
      </c>
      <c r="F31" s="4">
        <v>173.04</v>
      </c>
      <c r="G31" s="13">
        <f t="shared" si="0"/>
        <v>-9.2378752886834064E-4</v>
      </c>
    </row>
    <row r="32" spans="1:7" ht="15" customHeight="1" x14ac:dyDescent="0.35">
      <c r="A32" s="3">
        <v>45565</v>
      </c>
      <c r="B32" s="4">
        <v>173.73</v>
      </c>
      <c r="C32" s="4">
        <v>174</v>
      </c>
      <c r="D32" s="4">
        <v>172.71</v>
      </c>
      <c r="E32" s="4">
        <v>173.2</v>
      </c>
      <c r="F32" s="4">
        <v>173.2</v>
      </c>
      <c r="G32" s="13">
        <f t="shared" si="0"/>
        <v>-2.0167098818785522E-3</v>
      </c>
    </row>
    <row r="33" spans="1:7" ht="15" customHeight="1" x14ac:dyDescent="0.35">
      <c r="A33" s="3">
        <v>45562</v>
      </c>
      <c r="B33" s="4">
        <v>173.01</v>
      </c>
      <c r="C33" s="4">
        <v>174.45</v>
      </c>
      <c r="D33" s="4">
        <v>172.58</v>
      </c>
      <c r="E33" s="4">
        <v>173.55</v>
      </c>
      <c r="F33" s="4">
        <v>173.55</v>
      </c>
      <c r="G33" s="13">
        <f t="shared" si="0"/>
        <v>1.9629351654061739E-3</v>
      </c>
    </row>
    <row r="34" spans="1:7" ht="15" customHeight="1" x14ac:dyDescent="0.35">
      <c r="A34" s="3">
        <v>45561</v>
      </c>
      <c r="B34" s="4">
        <v>171.5</v>
      </c>
      <c r="C34" s="4">
        <v>174.61</v>
      </c>
      <c r="D34" s="4">
        <v>171.36</v>
      </c>
      <c r="E34" s="4">
        <v>173.21</v>
      </c>
      <c r="F34" s="4">
        <v>173.21</v>
      </c>
      <c r="G34" s="13">
        <f t="shared" si="0"/>
        <v>5.5149193080228556E-3</v>
      </c>
    </row>
    <row r="35" spans="1:7" ht="15" customHeight="1" x14ac:dyDescent="0.35">
      <c r="A35" s="3">
        <v>45560</v>
      </c>
      <c r="B35" s="4">
        <v>174.07</v>
      </c>
      <c r="C35" s="4">
        <v>174.68</v>
      </c>
      <c r="D35" s="4">
        <v>172.06</v>
      </c>
      <c r="E35" s="4">
        <v>172.26</v>
      </c>
      <c r="F35" s="4">
        <v>172.26</v>
      </c>
      <c r="G35" s="13">
        <f t="shared" si="0"/>
        <v>-5.6568921727084857E-3</v>
      </c>
    </row>
    <row r="36" spans="1:7" ht="15" customHeight="1" x14ac:dyDescent="0.35">
      <c r="A36" s="3">
        <v>45559</v>
      </c>
      <c r="B36" s="4">
        <v>172.88</v>
      </c>
      <c r="C36" s="4">
        <v>174.5</v>
      </c>
      <c r="D36" s="4">
        <v>172.62</v>
      </c>
      <c r="E36" s="4">
        <v>173.24</v>
      </c>
      <c r="F36" s="4">
        <v>173.24</v>
      </c>
      <c r="G36" s="13">
        <f t="shared" si="0"/>
        <v>-3.0500086320999083E-3</v>
      </c>
    </row>
    <row r="37" spans="1:7" ht="15" customHeight="1" x14ac:dyDescent="0.35">
      <c r="A37" s="3">
        <v>45558</v>
      </c>
      <c r="B37" s="4">
        <v>174.01</v>
      </c>
      <c r="C37" s="4">
        <v>175.19</v>
      </c>
      <c r="D37" s="4">
        <v>172.59</v>
      </c>
      <c r="E37" s="4">
        <v>173.77</v>
      </c>
      <c r="F37" s="4">
        <v>173.77</v>
      </c>
      <c r="G37" s="13">
        <f t="shared" si="0"/>
        <v>-2.582941108942651E-3</v>
      </c>
    </row>
    <row r="38" spans="1:7" ht="15" customHeight="1" x14ac:dyDescent="0.35">
      <c r="A38" s="3">
        <v>45555</v>
      </c>
      <c r="B38" s="4">
        <v>171.51</v>
      </c>
      <c r="C38" s="4">
        <v>174.54</v>
      </c>
      <c r="D38" s="4">
        <v>171.5</v>
      </c>
      <c r="E38" s="4">
        <v>174.22</v>
      </c>
      <c r="F38" s="4">
        <v>174.22</v>
      </c>
      <c r="G38" s="13">
        <f t="shared" si="0"/>
        <v>1.5623178267459525E-2</v>
      </c>
    </row>
    <row r="39" spans="1:7" ht="15" customHeight="1" x14ac:dyDescent="0.35">
      <c r="A39" s="3">
        <v>45554</v>
      </c>
      <c r="B39" s="4">
        <v>172.88</v>
      </c>
      <c r="C39" s="4">
        <v>173.16</v>
      </c>
      <c r="D39" s="4">
        <v>170.38</v>
      </c>
      <c r="E39" s="4">
        <v>171.54</v>
      </c>
      <c r="F39" s="4">
        <v>171.54</v>
      </c>
      <c r="G39" s="13">
        <f t="shared" si="0"/>
        <v>-1.3684452621895099E-2</v>
      </c>
    </row>
    <row r="40" spans="1:7" ht="15" customHeight="1" x14ac:dyDescent="0.35">
      <c r="A40" s="3">
        <v>45553</v>
      </c>
      <c r="B40" s="4">
        <v>175.05</v>
      </c>
      <c r="C40" s="4">
        <v>175.9</v>
      </c>
      <c r="D40" s="4">
        <v>172.57</v>
      </c>
      <c r="E40" s="4">
        <v>173.92</v>
      </c>
      <c r="F40" s="4">
        <v>173.92</v>
      </c>
      <c r="G40" s="13">
        <f t="shared" si="0"/>
        <v>-1.1143961792131044E-2</v>
      </c>
    </row>
    <row r="41" spans="1:7" ht="15" customHeight="1" x14ac:dyDescent="0.35">
      <c r="A41" s="3">
        <v>45552</v>
      </c>
      <c r="B41" s="4">
        <v>176.63</v>
      </c>
      <c r="C41" s="4">
        <v>176.97</v>
      </c>
      <c r="D41" s="4">
        <v>175.36</v>
      </c>
      <c r="E41" s="4">
        <v>175.88</v>
      </c>
      <c r="F41" s="4">
        <v>175.88</v>
      </c>
      <c r="G41" s="13">
        <f t="shared" si="0"/>
        <v>-7.6732114646807358E-3</v>
      </c>
    </row>
    <row r="42" spans="1:7" ht="15" customHeight="1" x14ac:dyDescent="0.35">
      <c r="A42" s="3">
        <v>45551</v>
      </c>
      <c r="B42" s="4">
        <v>174.71</v>
      </c>
      <c r="C42" s="4">
        <v>177.31</v>
      </c>
      <c r="D42" s="4">
        <v>174.32</v>
      </c>
      <c r="E42" s="4">
        <v>177.24</v>
      </c>
      <c r="F42" s="4">
        <v>177.24</v>
      </c>
      <c r="G42" s="13">
        <f t="shared" si="0"/>
        <v>1.8152573529411745E-2</v>
      </c>
    </row>
    <row r="43" spans="1:7" ht="15" customHeight="1" x14ac:dyDescent="0.35">
      <c r="A43" s="3">
        <v>45548</v>
      </c>
      <c r="B43" s="4">
        <v>173.37</v>
      </c>
      <c r="C43" s="4">
        <v>174.54</v>
      </c>
      <c r="D43" s="4">
        <v>172.8</v>
      </c>
      <c r="E43" s="4">
        <v>174.08</v>
      </c>
      <c r="F43" s="4">
        <v>174.08</v>
      </c>
      <c r="G43" s="13">
        <f t="shared" si="0"/>
        <v>3.5164581772065121E-3</v>
      </c>
    </row>
    <row r="44" spans="1:7" ht="15" customHeight="1" x14ac:dyDescent="0.35">
      <c r="A44" s="3">
        <v>45547</v>
      </c>
      <c r="B44" s="4">
        <v>173.9</v>
      </c>
      <c r="C44" s="4">
        <v>174.61</v>
      </c>
      <c r="D44" s="4">
        <v>172.44</v>
      </c>
      <c r="E44" s="4">
        <v>173.47</v>
      </c>
      <c r="F44" s="4">
        <v>173.47</v>
      </c>
      <c r="G44" s="13">
        <f t="shared" si="0"/>
        <v>-2.587396504139769E-3</v>
      </c>
    </row>
    <row r="45" spans="1:7" ht="15" customHeight="1" x14ac:dyDescent="0.35">
      <c r="A45" s="3">
        <v>45546</v>
      </c>
      <c r="B45" s="4">
        <v>176.6</v>
      </c>
      <c r="C45" s="4">
        <v>177</v>
      </c>
      <c r="D45" s="4">
        <v>173.63</v>
      </c>
      <c r="E45" s="4">
        <v>173.92</v>
      </c>
      <c r="F45" s="4">
        <v>173.92</v>
      </c>
      <c r="G45" s="13">
        <f t="shared" si="0"/>
        <v>-2.1767253501321811E-2</v>
      </c>
    </row>
    <row r="46" spans="1:7" ht="15" customHeight="1" x14ac:dyDescent="0.35">
      <c r="A46" s="3">
        <v>45545</v>
      </c>
      <c r="B46" s="4">
        <v>175.91</v>
      </c>
      <c r="C46" s="4">
        <v>177.94</v>
      </c>
      <c r="D46" s="4">
        <v>175.91</v>
      </c>
      <c r="E46" s="4">
        <v>177.79</v>
      </c>
      <c r="F46" s="4">
        <v>177.79</v>
      </c>
      <c r="G46" s="13">
        <f t="shared" si="0"/>
        <v>9.8261956151311468E-3</v>
      </c>
    </row>
    <row r="47" spans="1:7" ht="15" customHeight="1" x14ac:dyDescent="0.35">
      <c r="A47" s="3">
        <v>45544</v>
      </c>
      <c r="B47" s="4">
        <v>175.54</v>
      </c>
      <c r="C47" s="4">
        <v>176.84</v>
      </c>
      <c r="D47" s="4">
        <v>174.66</v>
      </c>
      <c r="E47" s="4">
        <v>176.06</v>
      </c>
      <c r="F47" s="4">
        <v>176.06</v>
      </c>
      <c r="G47" s="13">
        <f t="shared" si="0"/>
        <v>2.6766900165157404E-3</v>
      </c>
    </row>
    <row r="48" spans="1:7" ht="15" customHeight="1" x14ac:dyDescent="0.35">
      <c r="A48" s="3">
        <v>45541</v>
      </c>
      <c r="B48" s="4">
        <v>175.76</v>
      </c>
      <c r="C48" s="4">
        <v>177.04</v>
      </c>
      <c r="D48" s="4">
        <v>175.34</v>
      </c>
      <c r="E48" s="4">
        <v>175.59</v>
      </c>
      <c r="F48" s="4">
        <v>175.59</v>
      </c>
      <c r="G48" s="13">
        <f t="shared" si="0"/>
        <v>6.8387758591214763E-4</v>
      </c>
    </row>
    <row r="49" spans="1:7" ht="15" customHeight="1" x14ac:dyDescent="0.35">
      <c r="A49" s="3">
        <v>45540</v>
      </c>
      <c r="B49" s="4">
        <v>175.99</v>
      </c>
      <c r="C49" s="4">
        <v>176.55</v>
      </c>
      <c r="D49" s="4">
        <v>174.67</v>
      </c>
      <c r="E49" s="4">
        <v>175.47</v>
      </c>
      <c r="F49" s="4">
        <v>175.47</v>
      </c>
      <c r="G49" s="13">
        <f t="shared" si="0"/>
        <v>-2.444570778851659E-3</v>
      </c>
    </row>
    <row r="50" spans="1:7" ht="15" customHeight="1" x14ac:dyDescent="0.35">
      <c r="A50" s="3">
        <v>45539</v>
      </c>
      <c r="B50" s="4">
        <v>173.63</v>
      </c>
      <c r="C50" s="4">
        <v>176</v>
      </c>
      <c r="D50" s="4">
        <v>173.63</v>
      </c>
      <c r="E50" s="4">
        <v>175.9</v>
      </c>
      <c r="F50" s="4">
        <v>175.9</v>
      </c>
      <c r="G50" s="13">
        <f t="shared" si="0"/>
        <v>7.9074031629612386E-3</v>
      </c>
    </row>
    <row r="51" spans="1:7" ht="15" customHeight="1" x14ac:dyDescent="0.35">
      <c r="A51" s="3">
        <v>45538</v>
      </c>
      <c r="B51" s="4">
        <v>171.03</v>
      </c>
      <c r="C51" s="4">
        <v>175</v>
      </c>
      <c r="D51" s="4">
        <v>170.99</v>
      </c>
      <c r="E51" s="4">
        <v>174.52</v>
      </c>
      <c r="F51" s="4">
        <v>174.52</v>
      </c>
      <c r="G51" s="13">
        <f t="shared" si="0"/>
        <v>1.737204150635431E-2</v>
      </c>
    </row>
    <row r="52" spans="1:7" ht="15" customHeight="1" x14ac:dyDescent="0.35">
      <c r="A52" s="3">
        <v>45534</v>
      </c>
      <c r="B52" s="4">
        <v>170.16</v>
      </c>
      <c r="C52" s="4">
        <v>171.88</v>
      </c>
      <c r="D52" s="4">
        <v>169.69</v>
      </c>
      <c r="E52" s="4">
        <v>171.54</v>
      </c>
      <c r="F52" s="4">
        <v>171.54</v>
      </c>
      <c r="G52" s="13">
        <f t="shared" si="0"/>
        <v>8.8807857436922367E-3</v>
      </c>
    </row>
    <row r="53" spans="1:7" ht="15" customHeight="1" x14ac:dyDescent="0.35">
      <c r="A53" s="3">
        <v>45533</v>
      </c>
      <c r="B53" s="4">
        <v>169.75</v>
      </c>
      <c r="C53" s="4">
        <v>170.6</v>
      </c>
      <c r="D53" s="4">
        <v>168.94</v>
      </c>
      <c r="E53" s="4">
        <v>170.03</v>
      </c>
      <c r="F53" s="4">
        <v>170.03</v>
      </c>
      <c r="G53" s="13">
        <f t="shared" si="0"/>
        <v>5.7376079498402868E-3</v>
      </c>
    </row>
    <row r="54" spans="1:7" ht="15" customHeight="1" x14ac:dyDescent="0.35">
      <c r="A54" s="3">
        <v>45532</v>
      </c>
      <c r="B54" s="4">
        <v>169.42</v>
      </c>
      <c r="C54" s="4">
        <v>171.2</v>
      </c>
      <c r="D54" s="4">
        <v>168.58</v>
      </c>
      <c r="E54" s="4">
        <v>169.06</v>
      </c>
      <c r="F54" s="4">
        <v>169.06</v>
      </c>
      <c r="G54" s="13">
        <f t="shared" si="0"/>
        <v>-1.1225997045790116E-3</v>
      </c>
    </row>
    <row r="55" spans="1:7" ht="15" customHeight="1" x14ac:dyDescent="0.35">
      <c r="A55" s="3">
        <v>45531</v>
      </c>
      <c r="B55" s="4">
        <v>170.83</v>
      </c>
      <c r="C55" s="4">
        <v>171.1</v>
      </c>
      <c r="D55" s="4">
        <v>169.08</v>
      </c>
      <c r="E55" s="4">
        <v>169.25</v>
      </c>
      <c r="F55" s="4">
        <v>169.25</v>
      </c>
      <c r="G55" s="13">
        <f t="shared" si="0"/>
        <v>-6.4572938068681793E-3</v>
      </c>
    </row>
    <row r="56" spans="1:7" ht="15" customHeight="1" x14ac:dyDescent="0.35">
      <c r="A56" s="3">
        <v>45530</v>
      </c>
      <c r="B56" s="4">
        <v>168.7</v>
      </c>
      <c r="C56" s="4">
        <v>170.97</v>
      </c>
      <c r="D56" s="4">
        <v>168.7</v>
      </c>
      <c r="E56" s="4">
        <v>170.35</v>
      </c>
      <c r="F56" s="4">
        <v>170.35</v>
      </c>
      <c r="G56" s="13">
        <f t="shared" si="0"/>
        <v>6.975232015132748E-3</v>
      </c>
    </row>
    <row r="57" spans="1:7" ht="15" customHeight="1" x14ac:dyDescent="0.35">
      <c r="A57" s="3">
        <v>45527</v>
      </c>
      <c r="B57" s="4">
        <v>170.05</v>
      </c>
      <c r="C57" s="4">
        <v>170.11</v>
      </c>
      <c r="D57" s="4">
        <v>168.25</v>
      </c>
      <c r="E57" s="4">
        <v>169.17</v>
      </c>
      <c r="F57" s="4">
        <v>169.17</v>
      </c>
      <c r="G57" s="13">
        <f t="shared" si="0"/>
        <v>-5.7596238612989603E-3</v>
      </c>
    </row>
    <row r="58" spans="1:7" ht="15" customHeight="1" x14ac:dyDescent="0.35">
      <c r="A58" s="3">
        <v>45526</v>
      </c>
      <c r="B58" s="4">
        <v>170.88</v>
      </c>
      <c r="C58" s="4">
        <v>171.24</v>
      </c>
      <c r="D58" s="4">
        <v>169.14</v>
      </c>
      <c r="E58" s="4">
        <v>170.15</v>
      </c>
      <c r="F58" s="4">
        <v>170.15</v>
      </c>
      <c r="G58" s="13">
        <f t="shared" si="0"/>
        <v>-5.8768218147572316E-5</v>
      </c>
    </row>
    <row r="59" spans="1:7" ht="15" customHeight="1" x14ac:dyDescent="0.35">
      <c r="A59" s="3">
        <v>45525</v>
      </c>
      <c r="B59" s="4">
        <v>170.19</v>
      </c>
      <c r="C59" s="4">
        <v>171.89</v>
      </c>
      <c r="D59" s="4">
        <v>169.6</v>
      </c>
      <c r="E59" s="4">
        <v>170.16</v>
      </c>
      <c r="F59" s="4">
        <v>170.16</v>
      </c>
      <c r="G59" s="13">
        <f t="shared" si="0"/>
        <v>-1.4670500557479021E-3</v>
      </c>
    </row>
    <row r="60" spans="1:7" ht="15" customHeight="1" x14ac:dyDescent="0.35">
      <c r="A60" s="3">
        <v>45524</v>
      </c>
      <c r="B60" s="4">
        <v>168.77</v>
      </c>
      <c r="C60" s="4">
        <v>170.56</v>
      </c>
      <c r="D60" s="4">
        <v>168.11</v>
      </c>
      <c r="E60" s="4">
        <v>170.41</v>
      </c>
      <c r="F60" s="4">
        <v>170.41</v>
      </c>
      <c r="G60" s="13">
        <f t="shared" si="0"/>
        <v>1.1815698848117855E-2</v>
      </c>
    </row>
    <row r="61" spans="1:7" ht="15" customHeight="1" x14ac:dyDescent="0.35">
      <c r="A61" s="3">
        <v>45523</v>
      </c>
      <c r="B61" s="4">
        <v>168.18</v>
      </c>
      <c r="C61" s="4">
        <v>169.24</v>
      </c>
      <c r="D61" s="4">
        <v>168.17</v>
      </c>
      <c r="E61" s="4">
        <v>168.42</v>
      </c>
      <c r="F61" s="4">
        <v>168.42</v>
      </c>
      <c r="G61" s="13">
        <f t="shared" si="0"/>
        <v>3.1568288760498017E-3</v>
      </c>
    </row>
    <row r="62" spans="1:7" ht="15" customHeight="1" x14ac:dyDescent="0.35">
      <c r="A62" s="3">
        <v>45520</v>
      </c>
      <c r="B62" s="4">
        <v>167.82</v>
      </c>
      <c r="C62" s="4">
        <v>168.35</v>
      </c>
      <c r="D62" s="4">
        <v>166.8</v>
      </c>
      <c r="E62" s="4">
        <v>167.89</v>
      </c>
      <c r="F62" s="4">
        <v>167.89</v>
      </c>
      <c r="G62" s="13">
        <f t="shared" si="0"/>
        <v>-1.7865650309671949E-4</v>
      </c>
    </row>
    <row r="63" spans="1:7" ht="15" customHeight="1" x14ac:dyDescent="0.35">
      <c r="A63" s="3">
        <v>45519</v>
      </c>
      <c r="B63" s="4">
        <v>169.46</v>
      </c>
      <c r="C63" s="4">
        <v>169.68</v>
      </c>
      <c r="D63" s="4">
        <v>166.75</v>
      </c>
      <c r="E63" s="4">
        <v>167.92</v>
      </c>
      <c r="F63" s="4">
        <v>167.92</v>
      </c>
      <c r="G63" s="13">
        <f t="shared" si="0"/>
        <v>-5.2132701421802362E-3</v>
      </c>
    </row>
    <row r="64" spans="1:7" ht="15" customHeight="1" x14ac:dyDescent="0.35">
      <c r="A64" s="3">
        <v>45518</v>
      </c>
      <c r="B64" s="4">
        <v>166.5</v>
      </c>
      <c r="C64" s="4">
        <v>169.47</v>
      </c>
      <c r="D64" s="4">
        <v>165.82</v>
      </c>
      <c r="E64" s="4">
        <v>168.8</v>
      </c>
      <c r="F64" s="4">
        <v>168.8</v>
      </c>
      <c r="G64" s="13">
        <f t="shared" si="0"/>
        <v>9.0262418554606927E-3</v>
      </c>
    </row>
    <row r="65" spans="1:7" ht="15" customHeight="1" x14ac:dyDescent="0.35">
      <c r="A65" s="3">
        <v>45517</v>
      </c>
      <c r="B65" s="4">
        <v>167.34</v>
      </c>
      <c r="C65" s="4">
        <v>167.8</v>
      </c>
      <c r="D65" s="4">
        <v>166.46</v>
      </c>
      <c r="E65" s="4">
        <v>167.29</v>
      </c>
      <c r="F65" s="4">
        <v>167.29</v>
      </c>
      <c r="G65" s="13">
        <f t="shared" si="0"/>
        <v>2.8775253282176715E-3</v>
      </c>
    </row>
    <row r="66" spans="1:7" ht="15" customHeight="1" x14ac:dyDescent="0.35">
      <c r="A66" s="3">
        <v>45516</v>
      </c>
      <c r="B66" s="4">
        <v>169.4</v>
      </c>
      <c r="C66" s="4">
        <v>169.65</v>
      </c>
      <c r="D66" s="4">
        <v>166.2</v>
      </c>
      <c r="E66" s="4">
        <v>166.81</v>
      </c>
      <c r="F66" s="4">
        <v>166.81</v>
      </c>
      <c r="G66" s="13">
        <f t="shared" ref="G66:G129" si="1">(F66-F67)/F67</f>
        <v>-2.1871701653570951E-2</v>
      </c>
    </row>
    <row r="67" spans="1:7" ht="15" customHeight="1" x14ac:dyDescent="0.35">
      <c r="A67" s="3">
        <v>45513</v>
      </c>
      <c r="B67" s="4">
        <v>170.12</v>
      </c>
      <c r="C67" s="4">
        <v>171.26</v>
      </c>
      <c r="D67" s="4">
        <v>169.65</v>
      </c>
      <c r="E67" s="4">
        <v>170.54</v>
      </c>
      <c r="F67" s="4">
        <v>170.54</v>
      </c>
      <c r="G67" s="13">
        <f t="shared" si="1"/>
        <v>-1.9312927956927049E-3</v>
      </c>
    </row>
    <row r="68" spans="1:7" ht="15" customHeight="1" x14ac:dyDescent="0.35">
      <c r="A68" s="3">
        <v>45512</v>
      </c>
      <c r="B68" s="4">
        <v>169.42</v>
      </c>
      <c r="C68" s="4">
        <v>171.56</v>
      </c>
      <c r="D68" s="4">
        <v>169</v>
      </c>
      <c r="E68" s="4">
        <v>170.87</v>
      </c>
      <c r="F68" s="4">
        <v>170.87</v>
      </c>
      <c r="G68" s="13">
        <f t="shared" si="1"/>
        <v>4.9994118339018604E-3</v>
      </c>
    </row>
    <row r="69" spans="1:7" ht="15" customHeight="1" x14ac:dyDescent="0.35">
      <c r="A69" s="3">
        <v>45511</v>
      </c>
      <c r="B69" s="4">
        <v>168.57</v>
      </c>
      <c r="C69" s="4">
        <v>171.72</v>
      </c>
      <c r="D69" s="4">
        <v>168.01</v>
      </c>
      <c r="E69" s="4">
        <v>170.02</v>
      </c>
      <c r="F69" s="4">
        <v>170.02</v>
      </c>
      <c r="G69" s="13">
        <f t="shared" si="1"/>
        <v>1.1481944196561407E-2</v>
      </c>
    </row>
    <row r="70" spans="1:7" ht="15" customHeight="1" x14ac:dyDescent="0.35">
      <c r="A70" s="3">
        <v>45510</v>
      </c>
      <c r="B70" s="4">
        <v>167.9</v>
      </c>
      <c r="C70" s="4">
        <v>170.33</v>
      </c>
      <c r="D70" s="4">
        <v>167.85</v>
      </c>
      <c r="E70" s="4">
        <v>168.09</v>
      </c>
      <c r="F70" s="4">
        <v>168.09</v>
      </c>
      <c r="G70" s="13">
        <f t="shared" si="1"/>
        <v>1.7850767583006745E-4</v>
      </c>
    </row>
    <row r="71" spans="1:7" ht="15" customHeight="1" x14ac:dyDescent="0.35">
      <c r="A71" s="3">
        <v>45509</v>
      </c>
      <c r="B71" s="4">
        <v>170.88</v>
      </c>
      <c r="C71" s="4">
        <v>170.88</v>
      </c>
      <c r="D71" s="4">
        <v>166.67</v>
      </c>
      <c r="E71" s="4">
        <v>168.06</v>
      </c>
      <c r="F71" s="4">
        <v>168.06</v>
      </c>
      <c r="G71" s="13">
        <f t="shared" si="1"/>
        <v>-1.1876763875823201E-2</v>
      </c>
    </row>
    <row r="72" spans="1:7" ht="15" customHeight="1" x14ac:dyDescent="0.35">
      <c r="A72" s="3">
        <v>45506</v>
      </c>
      <c r="B72" s="4">
        <v>167.44</v>
      </c>
      <c r="C72" s="4">
        <v>170.35</v>
      </c>
      <c r="D72" s="4">
        <v>165.15</v>
      </c>
      <c r="E72" s="4">
        <v>170.08</v>
      </c>
      <c r="F72" s="4">
        <v>170.08</v>
      </c>
      <c r="G72" s="13">
        <f t="shared" si="1"/>
        <v>2.6495262236707194E-2</v>
      </c>
    </row>
    <row r="73" spans="1:7" ht="15" customHeight="1" x14ac:dyDescent="0.35">
      <c r="A73" s="3">
        <v>45505</v>
      </c>
      <c r="B73" s="4">
        <v>160.88</v>
      </c>
      <c r="C73" s="4">
        <v>166.31</v>
      </c>
      <c r="D73" s="4">
        <v>160.68</v>
      </c>
      <c r="E73" s="4">
        <v>165.69</v>
      </c>
      <c r="F73" s="4">
        <v>165.69</v>
      </c>
      <c r="G73" s="13">
        <f t="shared" si="1"/>
        <v>3.0666832545409351E-2</v>
      </c>
    </row>
    <row r="74" spans="1:7" ht="15" customHeight="1" x14ac:dyDescent="0.35">
      <c r="A74" s="3">
        <v>45504</v>
      </c>
      <c r="B74" s="4">
        <v>160.81</v>
      </c>
      <c r="C74" s="4">
        <v>162.86000000000001</v>
      </c>
      <c r="D74" s="4">
        <v>159.21</v>
      </c>
      <c r="E74" s="4">
        <v>160.76</v>
      </c>
      <c r="F74" s="4">
        <v>160.76</v>
      </c>
      <c r="G74" s="13">
        <f t="shared" si="1"/>
        <v>-5.8132343846629426E-3</v>
      </c>
    </row>
    <row r="75" spans="1:7" ht="15" customHeight="1" x14ac:dyDescent="0.35">
      <c r="A75" s="3">
        <v>45503</v>
      </c>
      <c r="B75" s="4">
        <v>161.79</v>
      </c>
      <c r="C75" s="4">
        <v>162.38</v>
      </c>
      <c r="D75" s="4">
        <v>158.04</v>
      </c>
      <c r="E75" s="4">
        <v>161.69999999999999</v>
      </c>
      <c r="F75" s="4">
        <v>161.69999999999999</v>
      </c>
      <c r="G75" s="13">
        <f t="shared" si="1"/>
        <v>-4.843170717354215E-2</v>
      </c>
    </row>
    <row r="76" spans="1:7" ht="15" customHeight="1" x14ac:dyDescent="0.35">
      <c r="A76" s="3">
        <v>45502</v>
      </c>
      <c r="B76" s="4">
        <v>168.85</v>
      </c>
      <c r="C76" s="4">
        <v>170.54</v>
      </c>
      <c r="D76" s="4">
        <v>168.11</v>
      </c>
      <c r="E76" s="4">
        <v>169.93</v>
      </c>
      <c r="F76" s="4">
        <v>169.93</v>
      </c>
      <c r="G76" s="13">
        <f t="shared" si="1"/>
        <v>4.8489149074566439E-3</v>
      </c>
    </row>
    <row r="77" spans="1:7" ht="15" customHeight="1" x14ac:dyDescent="0.35">
      <c r="A77" s="3">
        <v>45499</v>
      </c>
      <c r="B77" s="4">
        <v>167.25</v>
      </c>
      <c r="C77" s="4">
        <v>169.32</v>
      </c>
      <c r="D77" s="4">
        <v>167.03</v>
      </c>
      <c r="E77" s="4">
        <v>169.11</v>
      </c>
      <c r="F77" s="4">
        <v>169.11</v>
      </c>
      <c r="G77" s="13">
        <f t="shared" si="1"/>
        <v>1.3241461953265476E-2</v>
      </c>
    </row>
    <row r="78" spans="1:7" ht="15" customHeight="1" x14ac:dyDescent="0.35">
      <c r="A78" s="3">
        <v>45498</v>
      </c>
      <c r="B78" s="4">
        <v>168.32</v>
      </c>
      <c r="C78" s="4">
        <v>170.09</v>
      </c>
      <c r="D78" s="4">
        <v>166.87</v>
      </c>
      <c r="E78" s="4">
        <v>166.9</v>
      </c>
      <c r="F78" s="4">
        <v>166.9</v>
      </c>
      <c r="G78" s="13">
        <f t="shared" si="1"/>
        <v>-6.5476190476190139E-3</v>
      </c>
    </row>
    <row r="79" spans="1:7" ht="15" customHeight="1" x14ac:dyDescent="0.35">
      <c r="A79" s="3">
        <v>45497</v>
      </c>
      <c r="B79" s="4">
        <v>166.32</v>
      </c>
      <c r="C79" s="4">
        <v>168.28</v>
      </c>
      <c r="D79" s="4">
        <v>165.58</v>
      </c>
      <c r="E79" s="4">
        <v>168</v>
      </c>
      <c r="F79" s="4">
        <v>168</v>
      </c>
      <c r="G79" s="13">
        <f t="shared" si="1"/>
        <v>8.2823190493337851E-3</v>
      </c>
    </row>
    <row r="80" spans="1:7" ht="15" customHeight="1" x14ac:dyDescent="0.35">
      <c r="A80" s="3">
        <v>45496</v>
      </c>
      <c r="B80" s="4">
        <v>168.11</v>
      </c>
      <c r="C80" s="4">
        <v>168.42</v>
      </c>
      <c r="D80" s="4">
        <v>166.32</v>
      </c>
      <c r="E80" s="4">
        <v>166.62</v>
      </c>
      <c r="F80" s="4">
        <v>166.62</v>
      </c>
      <c r="G80" s="13">
        <f t="shared" si="1"/>
        <v>-9.6879643387815483E-3</v>
      </c>
    </row>
    <row r="81" spans="1:7" ht="15" customHeight="1" x14ac:dyDescent="0.35">
      <c r="A81" s="3">
        <v>45495</v>
      </c>
      <c r="B81" s="4">
        <v>167.93</v>
      </c>
      <c r="C81" s="4">
        <v>168.7</v>
      </c>
      <c r="D81" s="4">
        <v>167.7</v>
      </c>
      <c r="E81" s="4">
        <v>168.25</v>
      </c>
      <c r="F81" s="4">
        <v>168.25</v>
      </c>
      <c r="G81" s="13">
        <f t="shared" si="1"/>
        <v>1.7266015718027628E-3</v>
      </c>
    </row>
    <row r="82" spans="1:7" ht="15" customHeight="1" x14ac:dyDescent="0.35">
      <c r="A82" s="3">
        <v>45492</v>
      </c>
      <c r="B82" s="4">
        <v>167.97</v>
      </c>
      <c r="C82" s="4">
        <v>169.04</v>
      </c>
      <c r="D82" s="4">
        <v>167.13</v>
      </c>
      <c r="E82" s="4">
        <v>167.96</v>
      </c>
      <c r="F82" s="4">
        <v>167.96</v>
      </c>
      <c r="G82" s="13">
        <f t="shared" si="1"/>
        <v>-2.8496794110661945E-3</v>
      </c>
    </row>
    <row r="83" spans="1:7" ht="15" customHeight="1" x14ac:dyDescent="0.35">
      <c r="A83" s="3">
        <v>45491</v>
      </c>
      <c r="B83" s="4">
        <v>168.8</v>
      </c>
      <c r="C83" s="4">
        <v>170.92</v>
      </c>
      <c r="D83" s="4">
        <v>168.28</v>
      </c>
      <c r="E83" s="4">
        <v>168.44</v>
      </c>
      <c r="F83" s="4">
        <v>168.44</v>
      </c>
      <c r="G83" s="13">
        <f t="shared" si="1"/>
        <v>-5.9017941454202081E-3</v>
      </c>
    </row>
    <row r="84" spans="1:7" ht="15" customHeight="1" x14ac:dyDescent="0.35">
      <c r="A84" s="3">
        <v>45490</v>
      </c>
      <c r="B84" s="4">
        <v>167.75</v>
      </c>
      <c r="C84" s="4">
        <v>170.17</v>
      </c>
      <c r="D84" s="4">
        <v>167.33</v>
      </c>
      <c r="E84" s="4">
        <v>169.44</v>
      </c>
      <c r="F84" s="4">
        <v>169.44</v>
      </c>
      <c r="G84" s="13">
        <f t="shared" si="1"/>
        <v>1.4914645103324404E-2</v>
      </c>
    </row>
    <row r="85" spans="1:7" ht="15" customHeight="1" x14ac:dyDescent="0.35">
      <c r="A85" s="3">
        <v>45489</v>
      </c>
      <c r="B85" s="4">
        <v>164.91</v>
      </c>
      <c r="C85" s="4">
        <v>167.07</v>
      </c>
      <c r="D85" s="4">
        <v>164.61</v>
      </c>
      <c r="E85" s="4">
        <v>166.95</v>
      </c>
      <c r="F85" s="4">
        <v>166.95</v>
      </c>
      <c r="G85" s="13">
        <f t="shared" si="1"/>
        <v>1.4400291651476339E-2</v>
      </c>
    </row>
    <row r="86" spans="1:7" ht="15" customHeight="1" x14ac:dyDescent="0.35">
      <c r="A86" s="3">
        <v>45488</v>
      </c>
      <c r="B86" s="4">
        <v>166.47</v>
      </c>
      <c r="C86" s="4">
        <v>166.62</v>
      </c>
      <c r="D86" s="4">
        <v>164.46</v>
      </c>
      <c r="E86" s="4">
        <v>164.58</v>
      </c>
      <c r="F86" s="4">
        <v>164.58</v>
      </c>
      <c r="G86" s="13">
        <f t="shared" si="1"/>
        <v>-1.2184142608486891E-2</v>
      </c>
    </row>
    <row r="87" spans="1:7" ht="15" customHeight="1" x14ac:dyDescent="0.35">
      <c r="A87" s="3">
        <v>45485</v>
      </c>
      <c r="B87" s="4">
        <v>166.22</v>
      </c>
      <c r="C87" s="4">
        <v>167.64</v>
      </c>
      <c r="D87" s="4">
        <v>166.02</v>
      </c>
      <c r="E87" s="4">
        <v>166.61</v>
      </c>
      <c r="F87" s="4">
        <v>166.61</v>
      </c>
      <c r="G87" s="13">
        <f t="shared" si="1"/>
        <v>6.4636945753293561E-3</v>
      </c>
    </row>
    <row r="88" spans="1:7" ht="15" customHeight="1" x14ac:dyDescent="0.35">
      <c r="A88" s="3">
        <v>45484</v>
      </c>
      <c r="B88" s="4">
        <v>166.3</v>
      </c>
      <c r="C88" s="4">
        <v>166.63</v>
      </c>
      <c r="D88" s="4">
        <v>164.78</v>
      </c>
      <c r="E88" s="4">
        <v>165.54</v>
      </c>
      <c r="F88" s="4">
        <v>165.54</v>
      </c>
      <c r="G88" s="13">
        <f t="shared" si="1"/>
        <v>-7.5539568345324897E-3</v>
      </c>
    </row>
    <row r="89" spans="1:7" ht="15" customHeight="1" x14ac:dyDescent="0.35">
      <c r="A89" s="3">
        <v>45483</v>
      </c>
      <c r="B89" s="4">
        <v>165.9</v>
      </c>
      <c r="C89" s="4">
        <v>166.92</v>
      </c>
      <c r="D89" s="4">
        <v>165.54</v>
      </c>
      <c r="E89" s="4">
        <v>166.8</v>
      </c>
      <c r="F89" s="4">
        <v>166.8</v>
      </c>
      <c r="G89" s="13">
        <f t="shared" si="1"/>
        <v>6.8815646504890426E-3</v>
      </c>
    </row>
    <row r="90" spans="1:7" ht="15" customHeight="1" x14ac:dyDescent="0.35">
      <c r="A90" s="3">
        <v>45482</v>
      </c>
      <c r="B90" s="4">
        <v>166.63</v>
      </c>
      <c r="C90" s="4">
        <v>166.76</v>
      </c>
      <c r="D90" s="4">
        <v>165.14</v>
      </c>
      <c r="E90" s="4">
        <v>165.66</v>
      </c>
      <c r="F90" s="4">
        <v>165.66</v>
      </c>
      <c r="G90" s="13">
        <f t="shared" si="1"/>
        <v>-5.1645447994235743E-3</v>
      </c>
    </row>
    <row r="91" spans="1:7" ht="15" customHeight="1" x14ac:dyDescent="0.35">
      <c r="A91" s="3">
        <v>45481</v>
      </c>
      <c r="B91" s="4">
        <v>165.95</v>
      </c>
      <c r="C91" s="4">
        <v>166.67</v>
      </c>
      <c r="D91" s="4">
        <v>165.62</v>
      </c>
      <c r="E91" s="4">
        <v>166.52</v>
      </c>
      <c r="F91" s="4">
        <v>166.52</v>
      </c>
      <c r="G91" s="13">
        <f t="shared" si="1"/>
        <v>7.929302100357135E-3</v>
      </c>
    </row>
    <row r="92" spans="1:7" ht="15" customHeight="1" x14ac:dyDescent="0.35">
      <c r="A92" s="3">
        <v>45478</v>
      </c>
      <c r="B92" s="4">
        <v>164.01</v>
      </c>
      <c r="C92" s="4">
        <v>165.63</v>
      </c>
      <c r="D92" s="4">
        <v>163.5</v>
      </c>
      <c r="E92" s="4">
        <v>165.21</v>
      </c>
      <c r="F92" s="4">
        <v>165.21</v>
      </c>
      <c r="G92" s="13">
        <f t="shared" si="1"/>
        <v>8.4233656839406423E-3</v>
      </c>
    </row>
    <row r="93" spans="1:7" ht="15" customHeight="1" x14ac:dyDescent="0.35">
      <c r="A93" s="3">
        <v>45476</v>
      </c>
      <c r="B93" s="4">
        <v>163.21</v>
      </c>
      <c r="C93" s="4">
        <v>164.21</v>
      </c>
      <c r="D93" s="4">
        <v>162.97999999999999</v>
      </c>
      <c r="E93" s="4">
        <v>163.83000000000001</v>
      </c>
      <c r="F93" s="4">
        <v>163.83000000000001</v>
      </c>
      <c r="G93" s="13">
        <f t="shared" si="1"/>
        <v>-4.2708968883461366E-4</v>
      </c>
    </row>
    <row r="94" spans="1:7" ht="15" customHeight="1" x14ac:dyDescent="0.35">
      <c r="A94" s="3">
        <v>45475</v>
      </c>
      <c r="B94" s="4">
        <v>162.58000000000001</v>
      </c>
      <c r="C94" s="4">
        <v>164.04</v>
      </c>
      <c r="D94" s="4">
        <v>161.71</v>
      </c>
      <c r="E94" s="4">
        <v>163.9</v>
      </c>
      <c r="F94" s="4">
        <v>163.9</v>
      </c>
      <c r="G94" s="13">
        <f t="shared" si="1"/>
        <v>7.2517207472960104E-3</v>
      </c>
    </row>
    <row r="95" spans="1:7" ht="15" customHeight="1" x14ac:dyDescent="0.35">
      <c r="A95" s="3">
        <v>45474</v>
      </c>
      <c r="B95" s="4">
        <v>165.59</v>
      </c>
      <c r="C95" s="4">
        <v>166.21</v>
      </c>
      <c r="D95" s="4">
        <v>162.19999999999999</v>
      </c>
      <c r="E95" s="4">
        <v>162.72</v>
      </c>
      <c r="F95" s="4">
        <v>162.72</v>
      </c>
      <c r="G95" s="13">
        <f t="shared" si="1"/>
        <v>-1.333980111569239E-2</v>
      </c>
    </row>
    <row r="96" spans="1:7" ht="15" customHeight="1" x14ac:dyDescent="0.35">
      <c r="A96" s="3">
        <v>45471</v>
      </c>
      <c r="B96" s="4">
        <v>166</v>
      </c>
      <c r="C96" s="4">
        <v>167.24</v>
      </c>
      <c r="D96" s="4">
        <v>164.58</v>
      </c>
      <c r="E96" s="4">
        <v>164.92</v>
      </c>
      <c r="F96" s="4">
        <v>164.92</v>
      </c>
      <c r="G96" s="13">
        <f t="shared" si="1"/>
        <v>-1.0202856799904075E-2</v>
      </c>
    </row>
    <row r="97" spans="1:7" ht="15" customHeight="1" x14ac:dyDescent="0.35">
      <c r="A97" s="3">
        <v>45470</v>
      </c>
      <c r="B97" s="4">
        <v>167.49</v>
      </c>
      <c r="C97" s="4">
        <v>168.1</v>
      </c>
      <c r="D97" s="4">
        <v>165.5</v>
      </c>
      <c r="E97" s="4">
        <v>166.62</v>
      </c>
      <c r="F97" s="4">
        <v>166.62</v>
      </c>
      <c r="G97" s="13">
        <f t="shared" si="1"/>
        <v>-4.9567034935800785E-3</v>
      </c>
    </row>
    <row r="98" spans="1:7" ht="15" customHeight="1" x14ac:dyDescent="0.35">
      <c r="A98" s="3">
        <v>45469</v>
      </c>
      <c r="B98" s="4">
        <v>166.05</v>
      </c>
      <c r="C98" s="4">
        <v>167.81</v>
      </c>
      <c r="D98" s="4">
        <v>165.66</v>
      </c>
      <c r="E98" s="4">
        <v>167.45</v>
      </c>
      <c r="F98" s="4">
        <v>167.45</v>
      </c>
      <c r="G98" s="13">
        <f t="shared" si="1"/>
        <v>3.5960443512136312E-3</v>
      </c>
    </row>
    <row r="99" spans="1:7" ht="15" customHeight="1" x14ac:dyDescent="0.35">
      <c r="A99" s="3">
        <v>45468</v>
      </c>
      <c r="B99" s="4">
        <v>168.63</v>
      </c>
      <c r="C99" s="4">
        <v>168.91</v>
      </c>
      <c r="D99" s="4">
        <v>165.9</v>
      </c>
      <c r="E99" s="4">
        <v>166.85</v>
      </c>
      <c r="F99" s="4">
        <v>166.85</v>
      </c>
      <c r="G99" s="13">
        <f t="shared" si="1"/>
        <v>-9.4983674680913892E-3</v>
      </c>
    </row>
    <row r="100" spans="1:7" ht="15" customHeight="1" x14ac:dyDescent="0.35">
      <c r="A100" s="3">
        <v>45467</v>
      </c>
      <c r="B100" s="4">
        <v>168.76</v>
      </c>
      <c r="C100" s="4">
        <v>169.41</v>
      </c>
      <c r="D100" s="4">
        <v>167.48</v>
      </c>
      <c r="E100" s="4">
        <v>168.45</v>
      </c>
      <c r="F100" s="4">
        <v>168.45</v>
      </c>
      <c r="G100" s="13">
        <f t="shared" si="1"/>
        <v>1.129204802091987E-3</v>
      </c>
    </row>
    <row r="101" spans="1:7" ht="15" customHeight="1" x14ac:dyDescent="0.35">
      <c r="A101" s="3">
        <v>45464</v>
      </c>
      <c r="B101" s="4">
        <v>167.48</v>
      </c>
      <c r="C101" s="4">
        <v>168.88</v>
      </c>
      <c r="D101" s="4">
        <v>167.18</v>
      </c>
      <c r="E101" s="4">
        <v>168.26</v>
      </c>
      <c r="F101" s="4">
        <v>168.26</v>
      </c>
      <c r="G101" s="13">
        <f t="shared" si="1"/>
        <v>3.5188167233256005E-3</v>
      </c>
    </row>
    <row r="102" spans="1:7" ht="15" customHeight="1" x14ac:dyDescent="0.35">
      <c r="A102" s="3">
        <v>45463</v>
      </c>
      <c r="B102" s="4">
        <v>168.37</v>
      </c>
      <c r="C102" s="4">
        <v>168.78</v>
      </c>
      <c r="D102" s="4">
        <v>166.86</v>
      </c>
      <c r="E102" s="4">
        <v>167.67</v>
      </c>
      <c r="F102" s="4">
        <v>167.67</v>
      </c>
      <c r="G102" s="13">
        <f t="shared" si="1"/>
        <v>-5.2800189843380087E-3</v>
      </c>
    </row>
    <row r="103" spans="1:7" ht="15" customHeight="1" x14ac:dyDescent="0.35">
      <c r="A103" s="3">
        <v>45461</v>
      </c>
      <c r="B103" s="4">
        <v>167.03</v>
      </c>
      <c r="C103" s="4">
        <v>168.65</v>
      </c>
      <c r="D103" s="4">
        <v>166.94</v>
      </c>
      <c r="E103" s="4">
        <v>168.56</v>
      </c>
      <c r="F103" s="4">
        <v>168.56</v>
      </c>
      <c r="G103" s="13">
        <f t="shared" si="1"/>
        <v>6.3283582089552377E-3</v>
      </c>
    </row>
    <row r="104" spans="1:7" ht="15" customHeight="1" x14ac:dyDescent="0.35">
      <c r="A104" s="3">
        <v>45460</v>
      </c>
      <c r="B104" s="4">
        <v>165.85</v>
      </c>
      <c r="C104" s="4">
        <v>168.71</v>
      </c>
      <c r="D104" s="4">
        <v>165.4</v>
      </c>
      <c r="E104" s="4">
        <v>167.5</v>
      </c>
      <c r="F104" s="4">
        <v>167.5</v>
      </c>
      <c r="G104" s="13">
        <f t="shared" si="1"/>
        <v>4.2568499310510705E-3</v>
      </c>
    </row>
    <row r="105" spans="1:7" ht="15" customHeight="1" x14ac:dyDescent="0.35">
      <c r="A105" s="3">
        <v>45457</v>
      </c>
      <c r="B105" s="4">
        <v>165.99</v>
      </c>
      <c r="C105" s="4">
        <v>166.93</v>
      </c>
      <c r="D105" s="4">
        <v>165.25</v>
      </c>
      <c r="E105" s="4">
        <v>166.79</v>
      </c>
      <c r="F105" s="4">
        <v>166.79</v>
      </c>
      <c r="G105" s="13">
        <f t="shared" si="1"/>
        <v>2.2835166155879784E-3</v>
      </c>
    </row>
    <row r="106" spans="1:7" ht="15" customHeight="1" x14ac:dyDescent="0.35">
      <c r="A106" s="3">
        <v>45456</v>
      </c>
      <c r="B106" s="4">
        <v>164.47</v>
      </c>
      <c r="C106" s="4">
        <v>167</v>
      </c>
      <c r="D106" s="4">
        <v>164.47</v>
      </c>
      <c r="E106" s="4">
        <v>166.41</v>
      </c>
      <c r="F106" s="4">
        <v>166.41</v>
      </c>
      <c r="G106" s="13">
        <f t="shared" si="1"/>
        <v>7.4464220849981217E-3</v>
      </c>
    </row>
    <row r="107" spans="1:7" ht="15" customHeight="1" x14ac:dyDescent="0.35">
      <c r="A107" s="3">
        <v>45455</v>
      </c>
      <c r="B107" s="4">
        <v>167.5</v>
      </c>
      <c r="C107" s="4">
        <v>167.64</v>
      </c>
      <c r="D107" s="4">
        <v>164.22</v>
      </c>
      <c r="E107" s="4">
        <v>165.18</v>
      </c>
      <c r="F107" s="4">
        <v>165.18</v>
      </c>
      <c r="G107" s="13">
        <f t="shared" si="1"/>
        <v>-1.3732983042751272E-2</v>
      </c>
    </row>
    <row r="108" spans="1:7" ht="15" customHeight="1" x14ac:dyDescent="0.35">
      <c r="A108" s="3">
        <v>45454</v>
      </c>
      <c r="B108" s="4">
        <v>166.97</v>
      </c>
      <c r="C108" s="4">
        <v>167.5</v>
      </c>
      <c r="D108" s="4">
        <v>166.02</v>
      </c>
      <c r="E108" s="4">
        <v>167.48</v>
      </c>
      <c r="F108" s="4">
        <v>167.48</v>
      </c>
      <c r="G108" s="13">
        <f t="shared" si="1"/>
        <v>7.7681505826110225E-4</v>
      </c>
    </row>
    <row r="109" spans="1:7" ht="15" customHeight="1" x14ac:dyDescent="0.35">
      <c r="A109" s="3">
        <v>45453</v>
      </c>
      <c r="B109" s="4">
        <v>166.78</v>
      </c>
      <c r="C109" s="4">
        <v>167.72</v>
      </c>
      <c r="D109" s="4">
        <v>166.08</v>
      </c>
      <c r="E109" s="4">
        <v>167.35</v>
      </c>
      <c r="F109" s="4">
        <v>167.35</v>
      </c>
      <c r="G109" s="13">
        <f t="shared" si="1"/>
        <v>1.7359032682867954E-3</v>
      </c>
    </row>
    <row r="110" spans="1:7" ht="15" customHeight="1" x14ac:dyDescent="0.35">
      <c r="A110" s="3">
        <v>45450</v>
      </c>
      <c r="B110" s="4">
        <v>168.4</v>
      </c>
      <c r="C110" s="4">
        <v>168.97</v>
      </c>
      <c r="D110" s="4">
        <v>166.84</v>
      </c>
      <c r="E110" s="4">
        <v>167.06</v>
      </c>
      <c r="F110" s="4">
        <v>167.06</v>
      </c>
      <c r="G110" s="13">
        <f t="shared" si="1"/>
        <v>-8.3694426307354217E-3</v>
      </c>
    </row>
    <row r="111" spans="1:7" ht="15" customHeight="1" x14ac:dyDescent="0.35">
      <c r="A111" s="3">
        <v>45449</v>
      </c>
      <c r="B111" s="4">
        <v>165.83</v>
      </c>
      <c r="C111" s="4">
        <v>168.58</v>
      </c>
      <c r="D111" s="4">
        <v>165.08</v>
      </c>
      <c r="E111" s="4">
        <v>168.47</v>
      </c>
      <c r="F111" s="4">
        <v>168.47</v>
      </c>
      <c r="G111" s="13">
        <f t="shared" si="1"/>
        <v>1.4573923517012871E-2</v>
      </c>
    </row>
    <row r="112" spans="1:7" ht="15" customHeight="1" x14ac:dyDescent="0.35">
      <c r="A112" s="3">
        <v>45448</v>
      </c>
      <c r="B112" s="4">
        <v>167.01</v>
      </c>
      <c r="C112" s="4">
        <v>167.01</v>
      </c>
      <c r="D112" s="4">
        <v>164.98</v>
      </c>
      <c r="E112" s="4">
        <v>166.05</v>
      </c>
      <c r="F112" s="4">
        <v>166.05</v>
      </c>
      <c r="G112" s="13">
        <f t="shared" si="1"/>
        <v>-5.7481587928865313E-3</v>
      </c>
    </row>
    <row r="113" spans="1:7" ht="15" customHeight="1" x14ac:dyDescent="0.35">
      <c r="A113" s="3">
        <v>45447</v>
      </c>
      <c r="B113" s="4">
        <v>164.79</v>
      </c>
      <c r="C113" s="4">
        <v>167.12</v>
      </c>
      <c r="D113" s="4">
        <v>164.4</v>
      </c>
      <c r="E113" s="4">
        <v>167.01</v>
      </c>
      <c r="F113" s="4">
        <v>167.01</v>
      </c>
      <c r="G113" s="13">
        <f t="shared" si="1"/>
        <v>1.4333434558153569E-2</v>
      </c>
    </row>
    <row r="114" spans="1:7" ht="15" customHeight="1" x14ac:dyDescent="0.35">
      <c r="A114" s="3">
        <v>45446</v>
      </c>
      <c r="B114" s="4">
        <v>163.93</v>
      </c>
      <c r="C114" s="4">
        <v>166.24</v>
      </c>
      <c r="D114" s="4">
        <v>163.63</v>
      </c>
      <c r="E114" s="4">
        <v>164.65</v>
      </c>
      <c r="F114" s="4">
        <v>164.65</v>
      </c>
      <c r="G114" s="13">
        <f t="shared" si="1"/>
        <v>6.6853044852323838E-4</v>
      </c>
    </row>
    <row r="115" spans="1:7" ht="15" customHeight="1" x14ac:dyDescent="0.35">
      <c r="A115" s="3">
        <v>45443</v>
      </c>
      <c r="B115" s="4">
        <v>162.44</v>
      </c>
      <c r="C115" s="4">
        <v>164.77</v>
      </c>
      <c r="D115" s="4">
        <v>161.97</v>
      </c>
      <c r="E115" s="4">
        <v>164.54</v>
      </c>
      <c r="F115" s="4">
        <v>164.54</v>
      </c>
      <c r="G115" s="13">
        <f t="shared" si="1"/>
        <v>1.2055603395251442E-2</v>
      </c>
    </row>
    <row r="116" spans="1:7" ht="15" customHeight="1" x14ac:dyDescent="0.35">
      <c r="A116" s="3">
        <v>45442</v>
      </c>
      <c r="B116" s="4">
        <v>161.65</v>
      </c>
      <c r="C116" s="4">
        <v>162.69999999999999</v>
      </c>
      <c r="D116" s="4">
        <v>161.47999999999999</v>
      </c>
      <c r="E116" s="4">
        <v>162.58000000000001</v>
      </c>
      <c r="F116" s="4">
        <v>162.58000000000001</v>
      </c>
      <c r="G116" s="13">
        <f t="shared" si="1"/>
        <v>5.7531704299412728E-3</v>
      </c>
    </row>
    <row r="117" spans="1:7" ht="15" customHeight="1" x14ac:dyDescent="0.35">
      <c r="A117" s="3">
        <v>45441</v>
      </c>
      <c r="B117" s="4">
        <v>162.65</v>
      </c>
      <c r="C117" s="4">
        <v>162.74</v>
      </c>
      <c r="D117" s="4">
        <v>161.41999999999999</v>
      </c>
      <c r="E117" s="4">
        <v>161.65</v>
      </c>
      <c r="F117" s="4">
        <v>161.65</v>
      </c>
      <c r="G117" s="13">
        <f t="shared" si="1"/>
        <v>-8.9510146526884174E-3</v>
      </c>
    </row>
    <row r="118" spans="1:7" ht="15" customHeight="1" x14ac:dyDescent="0.35">
      <c r="A118" s="3">
        <v>45440</v>
      </c>
      <c r="B118" s="4">
        <v>164.49</v>
      </c>
      <c r="C118" s="4">
        <v>164.76</v>
      </c>
      <c r="D118" s="4">
        <v>162.26</v>
      </c>
      <c r="E118" s="4">
        <v>163.11000000000001</v>
      </c>
      <c r="F118" s="4">
        <v>163.11000000000001</v>
      </c>
      <c r="G118" s="13">
        <f t="shared" si="1"/>
        <v>-1.3427690074396653E-2</v>
      </c>
    </row>
    <row r="119" spans="1:7" ht="15" customHeight="1" x14ac:dyDescent="0.35">
      <c r="A119" s="3">
        <v>45436</v>
      </c>
      <c r="B119" s="4">
        <v>165.85</v>
      </c>
      <c r="C119" s="4">
        <v>166.31</v>
      </c>
      <c r="D119" s="4">
        <v>165.15</v>
      </c>
      <c r="E119" s="4">
        <v>165.33</v>
      </c>
      <c r="F119" s="4">
        <v>165.33</v>
      </c>
      <c r="G119" s="13">
        <f t="shared" si="1"/>
        <v>-9.6682579007792966E-4</v>
      </c>
    </row>
    <row r="120" spans="1:7" ht="15" customHeight="1" x14ac:dyDescent="0.35">
      <c r="A120" s="3">
        <v>45435</v>
      </c>
      <c r="B120" s="4">
        <v>167.29</v>
      </c>
      <c r="C120" s="4">
        <v>168.11</v>
      </c>
      <c r="D120" s="4">
        <v>165.32</v>
      </c>
      <c r="E120" s="4">
        <v>165.49</v>
      </c>
      <c r="F120" s="4">
        <v>165.49</v>
      </c>
      <c r="G120" s="13">
        <f t="shared" si="1"/>
        <v>-1.3825159406471565E-2</v>
      </c>
    </row>
    <row r="121" spans="1:7" ht="15" customHeight="1" x14ac:dyDescent="0.35">
      <c r="A121" s="3">
        <v>45434</v>
      </c>
      <c r="B121" s="4">
        <v>168.01</v>
      </c>
      <c r="C121" s="4">
        <v>168.43</v>
      </c>
      <c r="D121" s="4">
        <v>167.63</v>
      </c>
      <c r="E121" s="4">
        <v>167.81</v>
      </c>
      <c r="F121" s="4">
        <v>167.81</v>
      </c>
      <c r="G121" s="13">
        <f t="shared" si="1"/>
        <v>-3.2076032076031606E-3</v>
      </c>
    </row>
    <row r="122" spans="1:7" ht="15" customHeight="1" x14ac:dyDescent="0.35">
      <c r="A122" s="3">
        <v>45433</v>
      </c>
      <c r="B122" s="4">
        <v>167.76</v>
      </c>
      <c r="C122" s="4">
        <v>168.54</v>
      </c>
      <c r="D122" s="4">
        <v>167.29</v>
      </c>
      <c r="E122" s="4">
        <v>168.35</v>
      </c>
      <c r="F122" s="4">
        <v>168.35</v>
      </c>
      <c r="G122" s="13">
        <f t="shared" si="1"/>
        <v>6.2160062160061683E-3</v>
      </c>
    </row>
    <row r="123" spans="1:7" ht="15" customHeight="1" x14ac:dyDescent="0.35">
      <c r="A123" s="3">
        <v>45432</v>
      </c>
      <c r="B123" s="4">
        <v>167.55</v>
      </c>
      <c r="C123" s="4">
        <v>167.88</v>
      </c>
      <c r="D123" s="4">
        <v>166.79</v>
      </c>
      <c r="E123" s="4">
        <v>167.31</v>
      </c>
      <c r="F123" s="4">
        <v>167.31</v>
      </c>
      <c r="G123" s="13">
        <f t="shared" si="1"/>
        <v>-1.9685039370077794E-3</v>
      </c>
    </row>
    <row r="124" spans="1:7" ht="15" customHeight="1" x14ac:dyDescent="0.35">
      <c r="A124" s="3">
        <v>45429</v>
      </c>
      <c r="B124" s="4">
        <v>167.67</v>
      </c>
      <c r="C124" s="4">
        <v>168</v>
      </c>
      <c r="D124" s="4">
        <v>166.88</v>
      </c>
      <c r="E124" s="4">
        <v>167.64</v>
      </c>
      <c r="F124" s="4">
        <v>167.64</v>
      </c>
      <c r="G124" s="13">
        <f t="shared" si="1"/>
        <v>-1.3106159895152345E-3</v>
      </c>
    </row>
    <row r="125" spans="1:7" ht="15" customHeight="1" x14ac:dyDescent="0.35">
      <c r="A125" s="3">
        <v>45428</v>
      </c>
      <c r="B125" s="4">
        <v>166.93</v>
      </c>
      <c r="C125" s="4">
        <v>168.34</v>
      </c>
      <c r="D125" s="4">
        <v>166.59</v>
      </c>
      <c r="E125" s="4">
        <v>167.86</v>
      </c>
      <c r="F125" s="4">
        <v>167.86</v>
      </c>
      <c r="G125" s="13">
        <f t="shared" si="1"/>
        <v>8.1076211638941974E-3</v>
      </c>
    </row>
    <row r="126" spans="1:7" ht="15" customHeight="1" x14ac:dyDescent="0.35">
      <c r="A126" s="3">
        <v>45427</v>
      </c>
      <c r="B126" s="4">
        <v>165.31</v>
      </c>
      <c r="C126" s="4">
        <v>166.68</v>
      </c>
      <c r="D126" s="4">
        <v>165.12</v>
      </c>
      <c r="E126" s="4">
        <v>166.51</v>
      </c>
      <c r="F126" s="4">
        <v>166.51</v>
      </c>
      <c r="G126" s="13">
        <f t="shared" si="1"/>
        <v>4.5246138996139001E-3</v>
      </c>
    </row>
    <row r="127" spans="1:7" ht="15" customHeight="1" x14ac:dyDescent="0.35">
      <c r="A127" s="3">
        <v>45426</v>
      </c>
      <c r="B127" s="4">
        <v>165.53</v>
      </c>
      <c r="C127" s="4">
        <v>166.07</v>
      </c>
      <c r="D127" s="4">
        <v>163.95</v>
      </c>
      <c r="E127" s="4">
        <v>165.76</v>
      </c>
      <c r="F127" s="4">
        <v>165.76</v>
      </c>
      <c r="G127" s="13">
        <f t="shared" si="1"/>
        <v>-6.6316995237242205E-4</v>
      </c>
    </row>
    <row r="128" spans="1:7" ht="15" customHeight="1" x14ac:dyDescent="0.35">
      <c r="A128" s="3">
        <v>45425</v>
      </c>
      <c r="B128" s="4">
        <v>166.85</v>
      </c>
      <c r="C128" s="4">
        <v>167.65</v>
      </c>
      <c r="D128" s="4">
        <v>165.36</v>
      </c>
      <c r="E128" s="4">
        <v>165.87</v>
      </c>
      <c r="F128" s="4">
        <v>165.87</v>
      </c>
      <c r="G128" s="13">
        <f t="shared" si="1"/>
        <v>-5.8735391069822587E-3</v>
      </c>
    </row>
    <row r="129" spans="1:7" ht="15" customHeight="1" x14ac:dyDescent="0.35">
      <c r="A129" s="3">
        <v>45422</v>
      </c>
      <c r="B129" s="4">
        <v>166.09</v>
      </c>
      <c r="C129" s="4">
        <v>167.36</v>
      </c>
      <c r="D129" s="4">
        <v>165.7</v>
      </c>
      <c r="E129" s="4">
        <v>166.85</v>
      </c>
      <c r="F129" s="4">
        <v>166.85</v>
      </c>
      <c r="G129" s="13">
        <f t="shared" si="1"/>
        <v>4.8783425680559043E-3</v>
      </c>
    </row>
    <row r="130" spans="1:7" ht="15" customHeight="1" x14ac:dyDescent="0.35">
      <c r="A130" s="3">
        <v>45421</v>
      </c>
      <c r="B130" s="4">
        <v>165.05</v>
      </c>
      <c r="C130" s="4">
        <v>166.33</v>
      </c>
      <c r="D130" s="4">
        <v>165.05</v>
      </c>
      <c r="E130" s="4">
        <v>166.04</v>
      </c>
      <c r="F130" s="4">
        <v>166.04</v>
      </c>
      <c r="G130" s="13">
        <f t="shared" ref="G130:G193" si="2">(F130-F131)/F131</f>
        <v>5.8762949051917304E-3</v>
      </c>
    </row>
    <row r="131" spans="1:7" ht="15" customHeight="1" x14ac:dyDescent="0.35">
      <c r="A131" s="3">
        <v>45420</v>
      </c>
      <c r="B131" s="4">
        <v>165.98</v>
      </c>
      <c r="C131" s="4">
        <v>166.37</v>
      </c>
      <c r="D131" s="4">
        <v>164.93</v>
      </c>
      <c r="E131" s="4">
        <v>165.07</v>
      </c>
      <c r="F131" s="4">
        <v>165.07</v>
      </c>
      <c r="G131" s="13">
        <f t="shared" si="2"/>
        <v>-4.1626447876447741E-3</v>
      </c>
    </row>
    <row r="132" spans="1:7" ht="15" customHeight="1" x14ac:dyDescent="0.35">
      <c r="A132" s="3">
        <v>45419</v>
      </c>
      <c r="B132" s="4">
        <v>164.98</v>
      </c>
      <c r="C132" s="4">
        <v>166.04</v>
      </c>
      <c r="D132" s="4">
        <v>164.59</v>
      </c>
      <c r="E132" s="4">
        <v>165.76</v>
      </c>
      <c r="F132" s="4">
        <v>165.76</v>
      </c>
      <c r="G132" s="13">
        <f t="shared" si="2"/>
        <v>8.0272439795669743E-3</v>
      </c>
    </row>
    <row r="133" spans="1:7" ht="15" customHeight="1" x14ac:dyDescent="0.35">
      <c r="A133" s="3">
        <v>45418</v>
      </c>
      <c r="B133" s="4">
        <v>164.78</v>
      </c>
      <c r="C133" s="4">
        <v>164.98</v>
      </c>
      <c r="D133" s="4">
        <v>163.26</v>
      </c>
      <c r="E133" s="4">
        <v>164.44</v>
      </c>
      <c r="F133" s="4">
        <v>164.44</v>
      </c>
      <c r="G133" s="13">
        <f t="shared" si="2"/>
        <v>-1.2161011796187663E-4</v>
      </c>
    </row>
    <row r="134" spans="1:7" ht="15" customHeight="1" x14ac:dyDescent="0.35">
      <c r="A134" s="3">
        <v>45415</v>
      </c>
      <c r="B134" s="4">
        <v>163.54</v>
      </c>
      <c r="C134" s="4">
        <v>164.71</v>
      </c>
      <c r="D134" s="4">
        <v>162.16</v>
      </c>
      <c r="E134" s="4">
        <v>164.46</v>
      </c>
      <c r="F134" s="4">
        <v>164.46</v>
      </c>
      <c r="G134" s="13">
        <f t="shared" si="2"/>
        <v>3.7841796875000278E-3</v>
      </c>
    </row>
    <row r="135" spans="1:7" ht="15" customHeight="1" x14ac:dyDescent="0.35">
      <c r="A135" s="3">
        <v>45414</v>
      </c>
      <c r="B135" s="4">
        <v>163.54</v>
      </c>
      <c r="C135" s="4">
        <v>164.49</v>
      </c>
      <c r="D135" s="4">
        <v>162.63999999999999</v>
      </c>
      <c r="E135" s="4">
        <v>163.84</v>
      </c>
      <c r="F135" s="4">
        <v>163.84</v>
      </c>
      <c r="G135" s="13">
        <f t="shared" si="2"/>
        <v>2.6927784577723238E-3</v>
      </c>
    </row>
    <row r="136" spans="1:7" ht="15" customHeight="1" x14ac:dyDescent="0.35">
      <c r="A136" s="3">
        <v>45413</v>
      </c>
      <c r="B136" s="4">
        <v>163.28</v>
      </c>
      <c r="C136" s="4">
        <v>164.24</v>
      </c>
      <c r="D136" s="4">
        <v>162.22</v>
      </c>
      <c r="E136" s="4">
        <v>163.4</v>
      </c>
      <c r="F136" s="4">
        <v>163.4</v>
      </c>
      <c r="G136" s="13">
        <f t="shared" si="2"/>
        <v>1.2254901960785359E-3</v>
      </c>
    </row>
    <row r="137" spans="1:7" ht="15" customHeight="1" x14ac:dyDescent="0.35">
      <c r="A137" s="3">
        <v>45412</v>
      </c>
      <c r="B137" s="4">
        <v>161.84</v>
      </c>
      <c r="C137" s="4">
        <v>163.35</v>
      </c>
      <c r="D137" s="4">
        <v>161.6</v>
      </c>
      <c r="E137" s="4">
        <v>163.19999999999999</v>
      </c>
      <c r="F137" s="4">
        <v>163.19999999999999</v>
      </c>
      <c r="G137" s="13">
        <f t="shared" si="2"/>
        <v>9.5261660274650016E-3</v>
      </c>
    </row>
    <row r="138" spans="1:7" ht="15" customHeight="1" x14ac:dyDescent="0.35">
      <c r="A138" s="3">
        <v>45411</v>
      </c>
      <c r="B138" s="4">
        <v>161.16999999999999</v>
      </c>
      <c r="C138" s="4">
        <v>161.79</v>
      </c>
      <c r="D138" s="4">
        <v>160.41</v>
      </c>
      <c r="E138" s="4">
        <v>161.66</v>
      </c>
      <c r="F138" s="4">
        <v>161.66</v>
      </c>
      <c r="G138" s="13">
        <f t="shared" si="2"/>
        <v>2.2940045880092044E-3</v>
      </c>
    </row>
    <row r="139" spans="1:7" ht="15" customHeight="1" x14ac:dyDescent="0.35">
      <c r="A139" s="3">
        <v>45408</v>
      </c>
      <c r="B139" s="4">
        <v>162.5</v>
      </c>
      <c r="C139" s="4">
        <v>163.32</v>
      </c>
      <c r="D139" s="4">
        <v>160.49</v>
      </c>
      <c r="E139" s="4">
        <v>161.29</v>
      </c>
      <c r="F139" s="4">
        <v>161.29</v>
      </c>
      <c r="G139" s="13">
        <f t="shared" si="2"/>
        <v>-7.7514610888958424E-3</v>
      </c>
    </row>
    <row r="140" spans="1:7" ht="15" customHeight="1" x14ac:dyDescent="0.35">
      <c r="A140" s="3">
        <v>45407</v>
      </c>
      <c r="B140" s="4">
        <v>162.97</v>
      </c>
      <c r="C140" s="4">
        <v>164.32</v>
      </c>
      <c r="D140" s="4">
        <v>162.08000000000001</v>
      </c>
      <c r="E140" s="4">
        <v>162.55000000000001</v>
      </c>
      <c r="F140" s="4">
        <v>162.55000000000001</v>
      </c>
      <c r="G140" s="13">
        <f t="shared" si="2"/>
        <v>-3.0750307503064542E-4</v>
      </c>
    </row>
    <row r="141" spans="1:7" ht="15" customHeight="1" x14ac:dyDescent="0.35">
      <c r="A141" s="3">
        <v>45406</v>
      </c>
      <c r="B141" s="4">
        <v>161.19999999999999</v>
      </c>
      <c r="C141" s="4">
        <v>162.86000000000001</v>
      </c>
      <c r="D141" s="4">
        <v>159.41999999999999</v>
      </c>
      <c r="E141" s="4">
        <v>162.6</v>
      </c>
      <c r="F141" s="4">
        <v>162.6</v>
      </c>
      <c r="G141" s="13">
        <f t="shared" si="2"/>
        <v>6.8111455108358782E-3</v>
      </c>
    </row>
    <row r="142" spans="1:7" ht="15" customHeight="1" x14ac:dyDescent="0.35">
      <c r="A142" s="3">
        <v>45405</v>
      </c>
      <c r="B142" s="4">
        <v>161.68</v>
      </c>
      <c r="C142" s="4">
        <v>162.1</v>
      </c>
      <c r="D142" s="4">
        <v>160.41999999999999</v>
      </c>
      <c r="E142" s="4">
        <v>161.5</v>
      </c>
      <c r="F142" s="4">
        <v>161.5</v>
      </c>
      <c r="G142" s="13">
        <f t="shared" si="2"/>
        <v>5.9798181138657532E-3</v>
      </c>
    </row>
    <row r="143" spans="1:7" ht="15" customHeight="1" x14ac:dyDescent="0.35">
      <c r="A143" s="3">
        <v>45404</v>
      </c>
      <c r="B143" s="4">
        <v>158.43</v>
      </c>
      <c r="C143" s="4">
        <v>161.29</v>
      </c>
      <c r="D143" s="4">
        <v>157.25</v>
      </c>
      <c r="E143" s="4">
        <v>160.54</v>
      </c>
      <c r="F143" s="4">
        <v>160.54</v>
      </c>
      <c r="G143" s="13">
        <f t="shared" si="2"/>
        <v>1.5176425951688414E-2</v>
      </c>
    </row>
    <row r="144" spans="1:7" ht="15" customHeight="1" x14ac:dyDescent="0.35">
      <c r="A144" s="3">
        <v>45401</v>
      </c>
      <c r="B144" s="4">
        <v>154.97999999999999</v>
      </c>
      <c r="C144" s="4">
        <v>158.18</v>
      </c>
      <c r="D144" s="4">
        <v>153.52000000000001</v>
      </c>
      <c r="E144" s="4">
        <v>158.13999999999999</v>
      </c>
      <c r="F144" s="4">
        <v>158.13999999999999</v>
      </c>
      <c r="G144" s="13">
        <f t="shared" si="2"/>
        <v>5.4040307711869439E-3</v>
      </c>
    </row>
    <row r="145" spans="1:7" ht="15" customHeight="1" x14ac:dyDescent="0.35">
      <c r="A145" s="3">
        <v>45400</v>
      </c>
      <c r="B145" s="4">
        <v>156.34</v>
      </c>
      <c r="C145" s="4">
        <v>157.63</v>
      </c>
      <c r="D145" s="4">
        <v>155.96</v>
      </c>
      <c r="E145" s="4">
        <v>157.29</v>
      </c>
      <c r="F145" s="4">
        <v>157.29</v>
      </c>
      <c r="G145" s="13">
        <f t="shared" si="2"/>
        <v>2.1024464831803265E-3</v>
      </c>
    </row>
    <row r="146" spans="1:7" ht="15" customHeight="1" x14ac:dyDescent="0.35">
      <c r="A146" s="3">
        <v>45399</v>
      </c>
      <c r="B146" s="4">
        <v>156.30000000000001</v>
      </c>
      <c r="C146" s="4">
        <v>157.12</v>
      </c>
      <c r="D146" s="4">
        <v>155.74</v>
      </c>
      <c r="E146" s="4">
        <v>156.96</v>
      </c>
      <c r="F146" s="4">
        <v>156.96</v>
      </c>
      <c r="G146" s="13">
        <f t="shared" si="2"/>
        <v>6.4764347547292041E-3</v>
      </c>
    </row>
    <row r="147" spans="1:7" ht="15" customHeight="1" x14ac:dyDescent="0.35">
      <c r="A147" s="3">
        <v>45398</v>
      </c>
      <c r="B147" s="4">
        <v>155.85</v>
      </c>
      <c r="C147" s="4">
        <v>156.94</v>
      </c>
      <c r="D147" s="4">
        <v>155.66999999999999</v>
      </c>
      <c r="E147" s="4">
        <v>155.94999999999999</v>
      </c>
      <c r="F147" s="4">
        <v>155.94999999999999</v>
      </c>
      <c r="G147" s="13">
        <f t="shared" si="2"/>
        <v>3.2164683177870702E-3</v>
      </c>
    </row>
    <row r="148" spans="1:7" ht="15" customHeight="1" x14ac:dyDescent="0.35">
      <c r="A148" s="3">
        <v>45397</v>
      </c>
      <c r="B148" s="4">
        <v>156.41999999999999</v>
      </c>
      <c r="C148" s="4">
        <v>156.82</v>
      </c>
      <c r="D148" s="4">
        <v>155.33000000000001</v>
      </c>
      <c r="E148" s="4">
        <v>155.44999999999999</v>
      </c>
      <c r="F148" s="4">
        <v>155.44999999999999</v>
      </c>
      <c r="G148" s="13">
        <f t="shared" si="2"/>
        <v>7.7254876714077199E-4</v>
      </c>
    </row>
    <row r="149" spans="1:7" ht="15" customHeight="1" x14ac:dyDescent="0.35">
      <c r="A149" s="3">
        <v>45394</v>
      </c>
      <c r="B149" s="4">
        <v>155.22</v>
      </c>
      <c r="C149" s="4">
        <v>155.97</v>
      </c>
      <c r="D149" s="4">
        <v>154.74</v>
      </c>
      <c r="E149" s="4">
        <v>155.33000000000001</v>
      </c>
      <c r="F149" s="4">
        <v>155.33000000000001</v>
      </c>
      <c r="G149" s="13">
        <f t="shared" si="2"/>
        <v>-3.2725872689937812E-3</v>
      </c>
    </row>
    <row r="150" spans="1:7" ht="15" customHeight="1" x14ac:dyDescent="0.35">
      <c r="A150" s="3">
        <v>45393</v>
      </c>
      <c r="B150" s="4">
        <v>157.55000000000001</v>
      </c>
      <c r="C150" s="4">
        <v>157.6</v>
      </c>
      <c r="D150" s="4">
        <v>155.77000000000001</v>
      </c>
      <c r="E150" s="4">
        <v>155.84</v>
      </c>
      <c r="F150" s="4">
        <v>155.84</v>
      </c>
      <c r="G150" s="13">
        <f t="shared" si="2"/>
        <v>-8.9035868735691023E-3</v>
      </c>
    </row>
    <row r="151" spans="1:7" ht="15" customHeight="1" x14ac:dyDescent="0.35">
      <c r="A151" s="3">
        <v>45392</v>
      </c>
      <c r="B151" s="4">
        <v>155.65</v>
      </c>
      <c r="C151" s="4">
        <v>157.58000000000001</v>
      </c>
      <c r="D151" s="4">
        <v>155.65</v>
      </c>
      <c r="E151" s="4">
        <v>157.24</v>
      </c>
      <c r="F151" s="4">
        <v>157.24</v>
      </c>
      <c r="G151" s="13">
        <f t="shared" si="2"/>
        <v>3.702285203625766E-3</v>
      </c>
    </row>
    <row r="152" spans="1:7" ht="15" customHeight="1" x14ac:dyDescent="0.35">
      <c r="A152" s="3">
        <v>45391</v>
      </c>
      <c r="B152" s="4">
        <v>156.27000000000001</v>
      </c>
      <c r="C152" s="4">
        <v>156.75</v>
      </c>
      <c r="D152" s="4">
        <v>155.69999999999999</v>
      </c>
      <c r="E152" s="4">
        <v>156.66</v>
      </c>
      <c r="F152" s="4">
        <v>156.66</v>
      </c>
      <c r="G152" s="13">
        <f t="shared" si="2"/>
        <v>3.9733401691874172E-3</v>
      </c>
    </row>
    <row r="153" spans="1:7" ht="15" customHeight="1" x14ac:dyDescent="0.35">
      <c r="A153" s="3">
        <v>45390</v>
      </c>
      <c r="B153" s="4">
        <v>155.97</v>
      </c>
      <c r="C153" s="4">
        <v>156.69999999999999</v>
      </c>
      <c r="D153" s="4">
        <v>155.63</v>
      </c>
      <c r="E153" s="4">
        <v>156.04</v>
      </c>
      <c r="F153" s="4">
        <v>156.04</v>
      </c>
      <c r="G153" s="13">
        <f t="shared" si="2"/>
        <v>-3.8436899423447969E-4</v>
      </c>
    </row>
    <row r="154" spans="1:7" ht="15" customHeight="1" x14ac:dyDescent="0.35">
      <c r="A154" s="3">
        <v>45387</v>
      </c>
      <c r="B154" s="4">
        <v>155.29</v>
      </c>
      <c r="C154" s="4">
        <v>157.06</v>
      </c>
      <c r="D154" s="4">
        <v>154.69</v>
      </c>
      <c r="E154" s="4">
        <v>156.1</v>
      </c>
      <c r="F154" s="4">
        <v>156.1</v>
      </c>
      <c r="G154" s="13">
        <f t="shared" si="2"/>
        <v>4.1814088131232278E-3</v>
      </c>
    </row>
    <row r="155" spans="1:7" ht="15" customHeight="1" x14ac:dyDescent="0.35">
      <c r="A155" s="3">
        <v>45386</v>
      </c>
      <c r="B155" s="4">
        <v>156.88</v>
      </c>
      <c r="C155" s="4">
        <v>157.08000000000001</v>
      </c>
      <c r="D155" s="4">
        <v>155.41</v>
      </c>
      <c r="E155" s="4">
        <v>155.44999999999999</v>
      </c>
      <c r="F155" s="4">
        <v>155.44999999999999</v>
      </c>
      <c r="G155" s="13">
        <f t="shared" si="2"/>
        <v>-4.482869036183266E-3</v>
      </c>
    </row>
    <row r="156" spans="1:7" ht="15" customHeight="1" x14ac:dyDescent="0.35">
      <c r="A156" s="3">
        <v>45385</v>
      </c>
      <c r="B156" s="4">
        <v>160.63</v>
      </c>
      <c r="C156" s="4">
        <v>160.88</v>
      </c>
      <c r="D156" s="4">
        <v>155.68</v>
      </c>
      <c r="E156" s="4">
        <v>156.15</v>
      </c>
      <c r="F156" s="4">
        <v>156.15</v>
      </c>
      <c r="G156" s="13">
        <f t="shared" si="2"/>
        <v>-2.7526935293018546E-2</v>
      </c>
    </row>
    <row r="157" spans="1:7" ht="15" customHeight="1" x14ac:dyDescent="0.35">
      <c r="A157" s="3">
        <v>45384</v>
      </c>
      <c r="B157" s="4">
        <v>159.63999999999999</v>
      </c>
      <c r="C157" s="4">
        <v>160.71</v>
      </c>
      <c r="D157" s="4">
        <v>159.63999999999999</v>
      </c>
      <c r="E157" s="4">
        <v>160.57</v>
      </c>
      <c r="F157" s="4">
        <v>160.57</v>
      </c>
      <c r="G157" s="13">
        <f t="shared" si="2"/>
        <v>-6.2274255822763276E-5</v>
      </c>
    </row>
    <row r="158" spans="1:7" ht="15" customHeight="1" x14ac:dyDescent="0.35">
      <c r="A158" s="3">
        <v>45383</v>
      </c>
      <c r="B158" s="4">
        <v>161.78</v>
      </c>
      <c r="C158" s="4">
        <v>162.07</v>
      </c>
      <c r="D158" s="4">
        <v>159.80000000000001</v>
      </c>
      <c r="E158" s="4">
        <v>160.58000000000001</v>
      </c>
      <c r="F158" s="4">
        <v>160.58000000000001</v>
      </c>
      <c r="G158" s="13">
        <f t="shared" si="2"/>
        <v>-1.0292758089368182E-2</v>
      </c>
    </row>
    <row r="159" spans="1:7" ht="15" customHeight="1" x14ac:dyDescent="0.35">
      <c r="A159" s="3">
        <v>45379</v>
      </c>
      <c r="B159" s="4">
        <v>162.82</v>
      </c>
      <c r="C159" s="4">
        <v>163.13999999999999</v>
      </c>
      <c r="D159" s="4">
        <v>161.69999999999999</v>
      </c>
      <c r="E159" s="4">
        <v>162.25</v>
      </c>
      <c r="F159" s="4">
        <v>162.25</v>
      </c>
      <c r="G159" s="13">
        <f t="shared" si="2"/>
        <v>-2.213885984871863E-3</v>
      </c>
    </row>
    <row r="160" spans="1:7" ht="15" customHeight="1" x14ac:dyDescent="0.35">
      <c r="A160" s="3">
        <v>45378</v>
      </c>
      <c r="B160" s="4">
        <v>161.36000000000001</v>
      </c>
      <c r="C160" s="4">
        <v>162.74</v>
      </c>
      <c r="D160" s="4">
        <v>161.34</v>
      </c>
      <c r="E160" s="4">
        <v>162.61000000000001</v>
      </c>
      <c r="F160" s="4">
        <v>162.61000000000001</v>
      </c>
      <c r="G160" s="13">
        <f t="shared" si="2"/>
        <v>1.2830893802553735E-2</v>
      </c>
    </row>
    <row r="161" spans="1:7" ht="15" customHeight="1" x14ac:dyDescent="0.35">
      <c r="A161" s="3">
        <v>45377</v>
      </c>
      <c r="B161" s="4">
        <v>160.36000000000001</v>
      </c>
      <c r="C161" s="4">
        <v>161.13999999999999</v>
      </c>
      <c r="D161" s="4">
        <v>160.13999999999999</v>
      </c>
      <c r="E161" s="4">
        <v>160.55000000000001</v>
      </c>
      <c r="F161" s="4">
        <v>160.55000000000001</v>
      </c>
      <c r="G161" s="13">
        <f t="shared" si="2"/>
        <v>2.2473312940883552E-3</v>
      </c>
    </row>
    <row r="162" spans="1:7" ht="15" customHeight="1" x14ac:dyDescent="0.35">
      <c r="A162" s="3">
        <v>45376</v>
      </c>
      <c r="B162" s="4">
        <v>161.16999999999999</v>
      </c>
      <c r="C162" s="4">
        <v>161.66</v>
      </c>
      <c r="D162" s="4">
        <v>159.72999999999999</v>
      </c>
      <c r="E162" s="4">
        <v>160.19</v>
      </c>
      <c r="F162" s="4">
        <v>160.19</v>
      </c>
      <c r="G162" s="13">
        <f t="shared" si="2"/>
        <v>-9.0931584807620869E-3</v>
      </c>
    </row>
    <row r="163" spans="1:7" ht="15" customHeight="1" x14ac:dyDescent="0.35">
      <c r="A163" s="3">
        <v>45373</v>
      </c>
      <c r="B163" s="4">
        <v>162.19999999999999</v>
      </c>
      <c r="C163" s="4">
        <v>162.41</v>
      </c>
      <c r="D163" s="4">
        <v>161.47</v>
      </c>
      <c r="E163" s="4">
        <v>161.66</v>
      </c>
      <c r="F163" s="4">
        <v>161.66</v>
      </c>
      <c r="G163" s="13">
        <f t="shared" si="2"/>
        <v>-1.2356357345855494E-3</v>
      </c>
    </row>
    <row r="164" spans="1:7" ht="15" customHeight="1" x14ac:dyDescent="0.35">
      <c r="A164" s="3">
        <v>45372</v>
      </c>
      <c r="B164" s="4">
        <v>162.09</v>
      </c>
      <c r="C164" s="4">
        <v>162.46</v>
      </c>
      <c r="D164" s="4">
        <v>161.12</v>
      </c>
      <c r="E164" s="4">
        <v>161.86000000000001</v>
      </c>
      <c r="F164" s="4">
        <v>161.86000000000001</v>
      </c>
      <c r="G164" s="13">
        <f t="shared" si="2"/>
        <v>-8.0251867399219366E-4</v>
      </c>
    </row>
    <row r="165" spans="1:7" ht="15" customHeight="1" x14ac:dyDescent="0.35">
      <c r="A165" s="3">
        <v>45371</v>
      </c>
      <c r="B165" s="4">
        <v>162.01</v>
      </c>
      <c r="C165" s="4">
        <v>162.4</v>
      </c>
      <c r="D165" s="4">
        <v>161.47</v>
      </c>
      <c r="E165" s="4">
        <v>161.99</v>
      </c>
      <c r="F165" s="4">
        <v>161.99</v>
      </c>
      <c r="G165" s="13">
        <f t="shared" si="2"/>
        <v>9.8869183711299859E-4</v>
      </c>
    </row>
    <row r="166" spans="1:7" ht="15" customHeight="1" x14ac:dyDescent="0.35">
      <c r="A166" s="3">
        <v>45370</v>
      </c>
      <c r="B166" s="4">
        <v>161.80000000000001</v>
      </c>
      <c r="C166" s="4">
        <v>162.16999999999999</v>
      </c>
      <c r="D166" s="4">
        <v>161.16999999999999</v>
      </c>
      <c r="E166" s="4">
        <v>161.83000000000001</v>
      </c>
      <c r="F166" s="4">
        <v>161.83000000000001</v>
      </c>
      <c r="G166" s="13">
        <f t="shared" si="2"/>
        <v>3.8459152658023976E-3</v>
      </c>
    </row>
    <row r="167" spans="1:7" ht="15" customHeight="1" x14ac:dyDescent="0.35">
      <c r="A167" s="3">
        <v>45369</v>
      </c>
      <c r="B167" s="4">
        <v>161.47999999999999</v>
      </c>
      <c r="C167" s="4">
        <v>162.72</v>
      </c>
      <c r="D167" s="4">
        <v>161</v>
      </c>
      <c r="E167" s="4">
        <v>161.21</v>
      </c>
      <c r="F167" s="4">
        <v>161.21</v>
      </c>
      <c r="G167" s="13">
        <f t="shared" si="2"/>
        <v>-1.0534143016482061E-3</v>
      </c>
    </row>
    <row r="168" spans="1:7" ht="15" customHeight="1" x14ac:dyDescent="0.35">
      <c r="A168" s="3">
        <v>45366</v>
      </c>
      <c r="B168" s="4">
        <v>160.69999999999999</v>
      </c>
      <c r="C168" s="4">
        <v>161.5</v>
      </c>
      <c r="D168" s="4">
        <v>160.30000000000001</v>
      </c>
      <c r="E168" s="4">
        <v>161.38</v>
      </c>
      <c r="F168" s="4">
        <v>161.38</v>
      </c>
      <c r="G168" s="13">
        <f t="shared" si="2"/>
        <v>-7.4303405572758233E-4</v>
      </c>
    </row>
    <row r="169" spans="1:7" ht="15" customHeight="1" x14ac:dyDescent="0.35">
      <c r="A169" s="3">
        <v>45365</v>
      </c>
      <c r="B169" s="4">
        <v>162.24</v>
      </c>
      <c r="C169" s="4">
        <v>162.62</v>
      </c>
      <c r="D169" s="4">
        <v>161.13</v>
      </c>
      <c r="E169" s="4">
        <v>161.5</v>
      </c>
      <c r="F169" s="4">
        <v>161.5</v>
      </c>
      <c r="G169" s="13">
        <f t="shared" si="2"/>
        <v>-4.9291435613062927E-3</v>
      </c>
    </row>
    <row r="170" spans="1:7" ht="15" customHeight="1" x14ac:dyDescent="0.35">
      <c r="A170" s="3">
        <v>45364</v>
      </c>
      <c r="B170" s="4">
        <v>162.38</v>
      </c>
      <c r="C170" s="4">
        <v>162.72999999999999</v>
      </c>
      <c r="D170" s="4">
        <v>161.33000000000001</v>
      </c>
      <c r="E170" s="4">
        <v>162.30000000000001</v>
      </c>
      <c r="F170" s="4">
        <v>162.30000000000001</v>
      </c>
      <c r="G170" s="13">
        <f t="shared" si="2"/>
        <v>2.2849379361452758E-3</v>
      </c>
    </row>
    <row r="171" spans="1:7" ht="15" customHeight="1" x14ac:dyDescent="0.35">
      <c r="A171" s="3">
        <v>45363</v>
      </c>
      <c r="B171" s="4">
        <v>161.82</v>
      </c>
      <c r="C171" s="4">
        <v>162.52000000000001</v>
      </c>
      <c r="D171" s="4">
        <v>161.22999999999999</v>
      </c>
      <c r="E171" s="4">
        <v>161.93</v>
      </c>
      <c r="F171" s="4">
        <v>161.93</v>
      </c>
      <c r="G171" s="13">
        <f t="shared" si="2"/>
        <v>2.3522129371711261E-3</v>
      </c>
    </row>
    <row r="172" spans="1:7" ht="15" customHeight="1" x14ac:dyDescent="0.35">
      <c r="A172" s="3">
        <v>45362</v>
      </c>
      <c r="B172" s="4">
        <v>161.34</v>
      </c>
      <c r="C172" s="4">
        <v>162.62</v>
      </c>
      <c r="D172" s="4">
        <v>160.82</v>
      </c>
      <c r="E172" s="4">
        <v>161.55000000000001</v>
      </c>
      <c r="F172" s="4">
        <v>161.55000000000001</v>
      </c>
      <c r="G172" s="13">
        <f t="shared" si="2"/>
        <v>7.4836295603368701E-3</v>
      </c>
    </row>
    <row r="173" spans="1:7" ht="15" customHeight="1" x14ac:dyDescent="0.35">
      <c r="A173" s="3">
        <v>45359</v>
      </c>
      <c r="B173" s="4">
        <v>159.85</v>
      </c>
      <c r="C173" s="4">
        <v>161.25</v>
      </c>
      <c r="D173" s="4">
        <v>158.29</v>
      </c>
      <c r="E173" s="4">
        <v>160.35</v>
      </c>
      <c r="F173" s="4">
        <v>160.35</v>
      </c>
      <c r="G173" s="13">
        <f t="shared" si="2"/>
        <v>-1.6809861785581511E-3</v>
      </c>
    </row>
    <row r="174" spans="1:7" ht="15" customHeight="1" x14ac:dyDescent="0.35">
      <c r="A174" s="3">
        <v>45358</v>
      </c>
      <c r="B174" s="4">
        <v>159.94999999999999</v>
      </c>
      <c r="C174" s="4">
        <v>160.91</v>
      </c>
      <c r="D174" s="4">
        <v>159.47</v>
      </c>
      <c r="E174" s="4">
        <v>160.62</v>
      </c>
      <c r="F174" s="4">
        <v>160.62</v>
      </c>
      <c r="G174" s="13">
        <f t="shared" si="2"/>
        <v>6.5801842451589359E-3</v>
      </c>
    </row>
    <row r="175" spans="1:7" ht="15" customHeight="1" x14ac:dyDescent="0.35">
      <c r="A175" s="3">
        <v>45357</v>
      </c>
      <c r="B175" s="4">
        <v>159.68</v>
      </c>
      <c r="C175" s="4">
        <v>159.99</v>
      </c>
      <c r="D175" s="4">
        <v>158.91</v>
      </c>
      <c r="E175" s="4">
        <v>159.57</v>
      </c>
      <c r="F175" s="4">
        <v>159.57</v>
      </c>
      <c r="G175" s="13">
        <f t="shared" si="2"/>
        <v>1.5691689681144867E-3</v>
      </c>
    </row>
    <row r="176" spans="1:7" ht="15" customHeight="1" x14ac:dyDescent="0.35">
      <c r="A176" s="3">
        <v>45356</v>
      </c>
      <c r="B176" s="4">
        <v>159.46</v>
      </c>
      <c r="C176" s="4">
        <v>159.99</v>
      </c>
      <c r="D176" s="4">
        <v>158.78</v>
      </c>
      <c r="E176" s="4">
        <v>159.32</v>
      </c>
      <c r="F176" s="4">
        <v>159.32</v>
      </c>
      <c r="G176" s="13">
        <f t="shared" si="2"/>
        <v>-1.5041363750313932E-3</v>
      </c>
    </row>
    <row r="177" spans="1:7" ht="15" customHeight="1" x14ac:dyDescent="0.35">
      <c r="A177" s="3">
        <v>45355</v>
      </c>
      <c r="B177" s="4">
        <v>157.74</v>
      </c>
      <c r="C177" s="4">
        <v>159.76</v>
      </c>
      <c r="D177" s="4">
        <v>157.66999999999999</v>
      </c>
      <c r="E177" s="4">
        <v>159.56</v>
      </c>
      <c r="F177" s="4">
        <v>159.56</v>
      </c>
      <c r="G177" s="13">
        <f t="shared" si="2"/>
        <v>4.4696254327982873E-3</v>
      </c>
    </row>
    <row r="178" spans="1:7" ht="15" customHeight="1" x14ac:dyDescent="0.35">
      <c r="A178" s="3">
        <v>45352</v>
      </c>
      <c r="B178" s="4">
        <v>158.05000000000001</v>
      </c>
      <c r="C178" s="4">
        <v>159.03</v>
      </c>
      <c r="D178" s="4">
        <v>157.61000000000001</v>
      </c>
      <c r="E178" s="4">
        <v>158.85</v>
      </c>
      <c r="F178" s="4">
        <v>158.85</v>
      </c>
      <c r="G178" s="13">
        <f t="shared" si="2"/>
        <v>-5.6625141562856058E-4</v>
      </c>
    </row>
    <row r="179" spans="1:7" ht="15" customHeight="1" x14ac:dyDescent="0.35">
      <c r="A179" s="3">
        <v>45351</v>
      </c>
      <c r="B179" s="4">
        <v>159.93</v>
      </c>
      <c r="C179" s="4">
        <v>160.11000000000001</v>
      </c>
      <c r="D179" s="4">
        <v>158.18</v>
      </c>
      <c r="E179" s="4">
        <v>158.94</v>
      </c>
      <c r="F179" s="4">
        <v>158.94</v>
      </c>
      <c r="G179" s="13">
        <f t="shared" si="2"/>
        <v>-6.9353327085286695E-3</v>
      </c>
    </row>
    <row r="180" spans="1:7" ht="15" customHeight="1" x14ac:dyDescent="0.35">
      <c r="A180" s="3">
        <v>45350</v>
      </c>
      <c r="B180" s="4">
        <v>159.07</v>
      </c>
      <c r="C180" s="4">
        <v>160.12</v>
      </c>
      <c r="D180" s="4">
        <v>158.63999999999999</v>
      </c>
      <c r="E180" s="4">
        <v>160.05000000000001</v>
      </c>
      <c r="F180" s="4">
        <v>160.05000000000001</v>
      </c>
      <c r="G180" s="13">
        <f t="shared" si="2"/>
        <v>4.7080979284369112E-3</v>
      </c>
    </row>
    <row r="181" spans="1:7" ht="15" customHeight="1" x14ac:dyDescent="0.35">
      <c r="A181" s="3">
        <v>45349</v>
      </c>
      <c r="B181" s="4">
        <v>159.41</v>
      </c>
      <c r="C181" s="4">
        <v>159.80000000000001</v>
      </c>
      <c r="D181" s="4">
        <v>158.96</v>
      </c>
      <c r="E181" s="4">
        <v>159.30000000000001</v>
      </c>
      <c r="F181" s="4">
        <v>159.30000000000001</v>
      </c>
      <c r="G181" s="13">
        <f t="shared" si="2"/>
        <v>-5.742104606166443E-3</v>
      </c>
    </row>
    <row r="182" spans="1:7" ht="15" customHeight="1" x14ac:dyDescent="0.35">
      <c r="A182" s="3">
        <v>45348</v>
      </c>
      <c r="B182" s="4">
        <v>161.03</v>
      </c>
      <c r="C182" s="4">
        <v>161.16999999999999</v>
      </c>
      <c r="D182" s="4">
        <v>160.07</v>
      </c>
      <c r="E182" s="4">
        <v>160.22</v>
      </c>
      <c r="F182" s="4">
        <v>160.22</v>
      </c>
      <c r="G182" s="13">
        <f t="shared" si="2"/>
        <v>-5.0301186114388762E-3</v>
      </c>
    </row>
    <row r="183" spans="1:7" ht="15" customHeight="1" x14ac:dyDescent="0.35">
      <c r="A183" s="3">
        <v>45345</v>
      </c>
      <c r="B183" s="4">
        <v>160.6</v>
      </c>
      <c r="C183" s="4">
        <v>161.74</v>
      </c>
      <c r="D183" s="4">
        <v>160.16</v>
      </c>
      <c r="E183" s="4">
        <v>161.03</v>
      </c>
      <c r="F183" s="4">
        <v>161.03</v>
      </c>
      <c r="G183" s="13">
        <f t="shared" si="2"/>
        <v>2.9272546088689516E-3</v>
      </c>
    </row>
    <row r="184" spans="1:7" ht="15" customHeight="1" x14ac:dyDescent="0.35">
      <c r="A184" s="3">
        <v>45344</v>
      </c>
      <c r="B184" s="4">
        <v>159.46</v>
      </c>
      <c r="C184" s="4">
        <v>161.09</v>
      </c>
      <c r="D184" s="4">
        <v>158.63</v>
      </c>
      <c r="E184" s="4">
        <v>160.56</v>
      </c>
      <c r="F184" s="4">
        <v>160.56</v>
      </c>
      <c r="G184" s="13">
        <f t="shared" si="2"/>
        <v>9.9750623441394377E-4</v>
      </c>
    </row>
    <row r="185" spans="1:7" ht="15" customHeight="1" x14ac:dyDescent="0.35">
      <c r="A185" s="3">
        <v>45343</v>
      </c>
      <c r="B185" s="4">
        <v>159.19</v>
      </c>
      <c r="C185" s="4">
        <v>160.4</v>
      </c>
      <c r="D185" s="4">
        <v>159.19</v>
      </c>
      <c r="E185" s="4">
        <v>160.4</v>
      </c>
      <c r="F185" s="4">
        <v>160.4</v>
      </c>
      <c r="G185" s="13">
        <f t="shared" si="2"/>
        <v>1.1923537947132768E-2</v>
      </c>
    </row>
    <row r="186" spans="1:7" ht="15" customHeight="1" x14ac:dyDescent="0.35">
      <c r="A186" s="3">
        <v>45342</v>
      </c>
      <c r="B186" s="4">
        <v>158.69999999999999</v>
      </c>
      <c r="C186" s="4">
        <v>159.79</v>
      </c>
      <c r="D186" s="4">
        <v>158.13</v>
      </c>
      <c r="E186" s="4">
        <v>158.51</v>
      </c>
      <c r="F186" s="4">
        <v>158.51</v>
      </c>
      <c r="G186" s="13">
        <f t="shared" si="2"/>
        <v>6.3488032505872646E-3</v>
      </c>
    </row>
    <row r="187" spans="1:7" ht="15" customHeight="1" x14ac:dyDescent="0.35">
      <c r="A187" s="3">
        <v>45338</v>
      </c>
      <c r="B187" s="4">
        <v>157.04</v>
      </c>
      <c r="C187" s="4">
        <v>158.44999999999999</v>
      </c>
      <c r="D187" s="4">
        <v>156.66999999999999</v>
      </c>
      <c r="E187" s="4">
        <v>157.51</v>
      </c>
      <c r="F187" s="4">
        <v>157.51</v>
      </c>
      <c r="G187" s="13">
        <f t="shared" si="2"/>
        <v>3.1845105407298899E-3</v>
      </c>
    </row>
    <row r="188" spans="1:7" ht="15" customHeight="1" x14ac:dyDescent="0.35">
      <c r="A188" s="3">
        <v>45337</v>
      </c>
      <c r="B188" s="4">
        <v>156.30000000000001</v>
      </c>
      <c r="C188" s="4">
        <v>157.41999999999999</v>
      </c>
      <c r="D188" s="4">
        <v>156.15</v>
      </c>
      <c r="E188" s="4">
        <v>157.01</v>
      </c>
      <c r="F188" s="4">
        <v>157.01</v>
      </c>
      <c r="G188" s="13">
        <f t="shared" si="2"/>
        <v>8.8671849900404508E-3</v>
      </c>
    </row>
    <row r="189" spans="1:7" ht="15" customHeight="1" x14ac:dyDescent="0.35">
      <c r="A189" s="3">
        <v>45336</v>
      </c>
      <c r="B189" s="4">
        <v>156.16</v>
      </c>
      <c r="C189" s="4">
        <v>156.16</v>
      </c>
      <c r="D189" s="4">
        <v>154.91</v>
      </c>
      <c r="E189" s="4">
        <v>155.63</v>
      </c>
      <c r="F189" s="4">
        <v>155.63</v>
      </c>
      <c r="G189" s="13">
        <f t="shared" si="2"/>
        <v>-4.0954757791003696E-3</v>
      </c>
    </row>
    <row r="190" spans="1:7" ht="15" customHeight="1" x14ac:dyDescent="0.35">
      <c r="A190" s="3">
        <v>45335</v>
      </c>
      <c r="B190" s="4">
        <v>157.75</v>
      </c>
      <c r="C190" s="4">
        <v>158.97</v>
      </c>
      <c r="D190" s="4">
        <v>155.47999999999999</v>
      </c>
      <c r="E190" s="4">
        <v>156.27000000000001</v>
      </c>
      <c r="F190" s="4">
        <v>156.27000000000001</v>
      </c>
      <c r="G190" s="13">
        <f t="shared" si="2"/>
        <v>-5.3465724651518259E-3</v>
      </c>
    </row>
    <row r="191" spans="1:7" ht="15" customHeight="1" x14ac:dyDescent="0.35">
      <c r="A191" s="3">
        <v>45334</v>
      </c>
      <c r="B191" s="4">
        <v>157.36000000000001</v>
      </c>
      <c r="C191" s="4">
        <v>157.61000000000001</v>
      </c>
      <c r="D191" s="4">
        <v>155.49</v>
      </c>
      <c r="E191" s="4">
        <v>157.11000000000001</v>
      </c>
      <c r="F191" s="4">
        <v>157.11000000000001</v>
      </c>
      <c r="G191" s="13">
        <f t="shared" si="2"/>
        <v>-1.9692542243677671E-3</v>
      </c>
    </row>
    <row r="192" spans="1:7" ht="15" customHeight="1" x14ac:dyDescent="0.35">
      <c r="A192" s="3">
        <v>45331</v>
      </c>
      <c r="B192" s="4">
        <v>158.26</v>
      </c>
      <c r="C192" s="4">
        <v>158.34</v>
      </c>
      <c r="D192" s="4">
        <v>156.96</v>
      </c>
      <c r="E192" s="4">
        <v>157.41999999999999</v>
      </c>
      <c r="F192" s="4">
        <v>157.41999999999999</v>
      </c>
      <c r="G192" s="13">
        <f t="shared" si="2"/>
        <v>-7.6903681290973209E-3</v>
      </c>
    </row>
    <row r="193" spans="1:7" ht="15" customHeight="1" x14ac:dyDescent="0.35">
      <c r="A193" s="3">
        <v>45330</v>
      </c>
      <c r="B193" s="4">
        <v>158.80000000000001</v>
      </c>
      <c r="C193" s="4">
        <v>159.1</v>
      </c>
      <c r="D193" s="4">
        <v>157.77000000000001</v>
      </c>
      <c r="E193" s="4">
        <v>158.63999999999999</v>
      </c>
      <c r="F193" s="4">
        <v>158.63999999999999</v>
      </c>
      <c r="G193" s="13">
        <f t="shared" si="2"/>
        <v>-3.0165912518854837E-3</v>
      </c>
    </row>
    <row r="194" spans="1:7" ht="15" customHeight="1" x14ac:dyDescent="0.35">
      <c r="A194" s="3">
        <v>45329</v>
      </c>
      <c r="B194" s="4">
        <v>159.1</v>
      </c>
      <c r="C194" s="4">
        <v>159.83000000000001</v>
      </c>
      <c r="D194" s="4">
        <v>158.74</v>
      </c>
      <c r="E194" s="4">
        <v>159.12</v>
      </c>
      <c r="F194" s="4">
        <v>159.12</v>
      </c>
      <c r="G194" s="13">
        <f t="shared" ref="G194:G257" si="3">(F194-F195)/F195</f>
        <v>1.0065425264217198E-3</v>
      </c>
    </row>
    <row r="195" spans="1:7" ht="15" customHeight="1" x14ac:dyDescent="0.35">
      <c r="A195" s="3">
        <v>45328</v>
      </c>
      <c r="B195" s="4">
        <v>158.31</v>
      </c>
      <c r="C195" s="4">
        <v>159.07</v>
      </c>
      <c r="D195" s="4">
        <v>157.87</v>
      </c>
      <c r="E195" s="4">
        <v>158.96</v>
      </c>
      <c r="F195" s="4">
        <v>158.96</v>
      </c>
      <c r="G195" s="13">
        <f t="shared" si="3"/>
        <v>4.7405347323178056E-3</v>
      </c>
    </row>
    <row r="196" spans="1:7" ht="15" customHeight="1" x14ac:dyDescent="0.35">
      <c r="A196" s="3">
        <v>45327</v>
      </c>
      <c r="B196" s="4">
        <v>158.16999999999999</v>
      </c>
      <c r="C196" s="4">
        <v>159</v>
      </c>
      <c r="D196" s="4">
        <v>157.56</v>
      </c>
      <c r="E196" s="4">
        <v>158.21</v>
      </c>
      <c r="F196" s="4">
        <v>158.21</v>
      </c>
      <c r="G196" s="13">
        <f t="shared" si="3"/>
        <v>7.590612941995354E-4</v>
      </c>
    </row>
    <row r="197" spans="1:7" ht="15" customHeight="1" x14ac:dyDescent="0.35">
      <c r="A197" s="3">
        <v>45324</v>
      </c>
      <c r="B197" s="4">
        <v>158.97</v>
      </c>
      <c r="C197" s="4">
        <v>159.6</v>
      </c>
      <c r="D197" s="4">
        <v>157.53</v>
      </c>
      <c r="E197" s="4">
        <v>158.09</v>
      </c>
      <c r="F197" s="4">
        <v>158.09</v>
      </c>
      <c r="G197" s="13">
        <f t="shared" si="3"/>
        <v>-6.8475939188340452E-3</v>
      </c>
    </row>
    <row r="198" spans="1:7" ht="15" customHeight="1" x14ac:dyDescent="0.35">
      <c r="A198" s="3">
        <v>45323</v>
      </c>
      <c r="B198" s="4">
        <v>156.77000000000001</v>
      </c>
      <c r="C198" s="4">
        <v>159.30000000000001</v>
      </c>
      <c r="D198" s="4">
        <v>156.62</v>
      </c>
      <c r="E198" s="4">
        <v>159.18</v>
      </c>
      <c r="F198" s="4">
        <v>159.18</v>
      </c>
      <c r="G198" s="13">
        <f t="shared" si="3"/>
        <v>1.2982054219167753E-2</v>
      </c>
    </row>
    <row r="199" spans="1:7" ht="15" customHeight="1" x14ac:dyDescent="0.35">
      <c r="A199" s="3">
        <v>45322</v>
      </c>
      <c r="B199" s="4">
        <v>157.99</v>
      </c>
      <c r="C199" s="4">
        <v>158.5</v>
      </c>
      <c r="D199" s="4">
        <v>156.69999999999999</v>
      </c>
      <c r="E199" s="4">
        <v>157.13999999999999</v>
      </c>
      <c r="F199" s="4">
        <v>157.13999999999999</v>
      </c>
      <c r="G199" s="13">
        <f t="shared" si="3"/>
        <v>-2.222363324655678E-3</v>
      </c>
    </row>
    <row r="200" spans="1:7" ht="15" customHeight="1" x14ac:dyDescent="0.35">
      <c r="A200" s="3">
        <v>45321</v>
      </c>
      <c r="B200" s="4">
        <v>156.34</v>
      </c>
      <c r="C200" s="4">
        <v>157.91999999999999</v>
      </c>
      <c r="D200" s="4">
        <v>155.82</v>
      </c>
      <c r="E200" s="4">
        <v>157.49</v>
      </c>
      <c r="F200" s="4">
        <v>157.49</v>
      </c>
      <c r="G200" s="13">
        <f t="shared" si="3"/>
        <v>8.5169057377049977E-3</v>
      </c>
    </row>
    <row r="201" spans="1:7" ht="15" customHeight="1" x14ac:dyDescent="0.35">
      <c r="A201" s="3">
        <v>45320</v>
      </c>
      <c r="B201" s="4">
        <v>156.68</v>
      </c>
      <c r="C201" s="4">
        <v>157.33000000000001</v>
      </c>
      <c r="D201" s="4">
        <v>155.4</v>
      </c>
      <c r="E201" s="4">
        <v>156.16</v>
      </c>
      <c r="F201" s="4">
        <v>156.16</v>
      </c>
      <c r="G201" s="13">
        <f t="shared" si="3"/>
        <v>1.2809017548360595E-4</v>
      </c>
    </row>
    <row r="202" spans="1:7" ht="15" customHeight="1" x14ac:dyDescent="0.35">
      <c r="A202" s="3">
        <v>45317</v>
      </c>
      <c r="B202" s="4">
        <v>155.81</v>
      </c>
      <c r="C202" s="4">
        <v>156.16</v>
      </c>
      <c r="D202" s="4">
        <v>155.34</v>
      </c>
      <c r="E202" s="4">
        <v>156.13999999999999</v>
      </c>
      <c r="F202" s="4">
        <v>156.13999999999999</v>
      </c>
      <c r="G202" s="13">
        <f t="shared" si="3"/>
        <v>3.3414728184036871E-3</v>
      </c>
    </row>
    <row r="203" spans="1:7" ht="15" customHeight="1" x14ac:dyDescent="0.35">
      <c r="A203" s="3">
        <v>45316</v>
      </c>
      <c r="B203" s="4">
        <v>152.4</v>
      </c>
      <c r="C203" s="4">
        <v>155.66</v>
      </c>
      <c r="D203" s="4">
        <v>152.06</v>
      </c>
      <c r="E203" s="4">
        <v>155.62</v>
      </c>
      <c r="F203" s="4">
        <v>155.62</v>
      </c>
      <c r="G203" s="13">
        <f t="shared" si="3"/>
        <v>2.3008151459374179E-2</v>
      </c>
    </row>
    <row r="204" spans="1:7" ht="15" customHeight="1" x14ac:dyDescent="0.35">
      <c r="A204" s="3">
        <v>45315</v>
      </c>
      <c r="B204" s="4">
        <v>153.93</v>
      </c>
      <c r="C204" s="4">
        <v>154.22999999999999</v>
      </c>
      <c r="D204" s="4">
        <v>152.09</v>
      </c>
      <c r="E204" s="4">
        <v>152.12</v>
      </c>
      <c r="F204" s="4">
        <v>152.12</v>
      </c>
      <c r="G204" s="13">
        <f t="shared" si="3"/>
        <v>-1.2079490842966525E-2</v>
      </c>
    </row>
    <row r="205" spans="1:7" ht="15" customHeight="1" x14ac:dyDescent="0.35">
      <c r="A205" s="3">
        <v>45314</v>
      </c>
      <c r="B205" s="4">
        <v>153.11000000000001</v>
      </c>
      <c r="C205" s="4">
        <v>156.4</v>
      </c>
      <c r="D205" s="4">
        <v>152.88999999999999</v>
      </c>
      <c r="E205" s="4">
        <v>153.97999999999999</v>
      </c>
      <c r="F205" s="4">
        <v>153.97999999999999</v>
      </c>
      <c r="G205" s="13">
        <f t="shared" si="3"/>
        <v>4.1390504531313238E-2</v>
      </c>
    </row>
    <row r="206" spans="1:7" ht="15" customHeight="1" x14ac:dyDescent="0.35">
      <c r="A206" s="3">
        <v>45313</v>
      </c>
      <c r="B206" s="4">
        <v>146.97</v>
      </c>
      <c r="C206" s="4">
        <v>148.21</v>
      </c>
      <c r="D206" s="4">
        <v>146.28</v>
      </c>
      <c r="E206" s="4">
        <v>147.86000000000001</v>
      </c>
      <c r="F206" s="4">
        <v>147.86000000000001</v>
      </c>
      <c r="G206" s="13">
        <f t="shared" si="3"/>
        <v>1.9651690723048077E-3</v>
      </c>
    </row>
    <row r="207" spans="1:7" ht="15" customHeight="1" x14ac:dyDescent="0.35">
      <c r="A207" s="3">
        <v>45310</v>
      </c>
      <c r="B207" s="4">
        <v>148.25</v>
      </c>
      <c r="C207" s="4">
        <v>148.62</v>
      </c>
      <c r="D207" s="4">
        <v>147.31</v>
      </c>
      <c r="E207" s="4">
        <v>147.57</v>
      </c>
      <c r="F207" s="4">
        <v>147.57</v>
      </c>
      <c r="G207" s="13">
        <f t="shared" si="3"/>
        <v>-3.8477116241392821E-3</v>
      </c>
    </row>
    <row r="208" spans="1:7" ht="15" customHeight="1" x14ac:dyDescent="0.35">
      <c r="A208" s="3">
        <v>45309</v>
      </c>
      <c r="B208" s="4">
        <v>148.22999999999999</v>
      </c>
      <c r="C208" s="4">
        <v>148.4</v>
      </c>
      <c r="D208" s="4">
        <v>146.91999999999999</v>
      </c>
      <c r="E208" s="4">
        <v>148.13999999999999</v>
      </c>
      <c r="F208" s="4">
        <v>148.13999999999999</v>
      </c>
      <c r="G208" s="13">
        <f t="shared" si="3"/>
        <v>-1.2004801920768384E-2</v>
      </c>
    </row>
    <row r="209" spans="1:7" ht="15" customHeight="1" x14ac:dyDescent="0.35">
      <c r="A209" s="3">
        <v>45308</v>
      </c>
      <c r="B209" s="4">
        <v>149.16</v>
      </c>
      <c r="C209" s="4">
        <v>150.6</v>
      </c>
      <c r="D209" s="4">
        <v>149.01</v>
      </c>
      <c r="E209" s="4">
        <v>149.94</v>
      </c>
      <c r="F209" s="4">
        <v>149.94</v>
      </c>
      <c r="G209" s="13">
        <f t="shared" si="3"/>
        <v>1.001401962747885E-3</v>
      </c>
    </row>
    <row r="210" spans="1:7" ht="15" customHeight="1" x14ac:dyDescent="0.35">
      <c r="A210" s="3">
        <v>45307</v>
      </c>
      <c r="B210" s="4">
        <v>150.15</v>
      </c>
      <c r="C210" s="4">
        <v>151.5</v>
      </c>
      <c r="D210" s="4">
        <v>148.88</v>
      </c>
      <c r="E210" s="4">
        <v>149.79</v>
      </c>
      <c r="F210" s="4">
        <v>149.79</v>
      </c>
      <c r="G210" s="13">
        <f t="shared" si="3"/>
        <v>-5.3784860557769074E-3</v>
      </c>
    </row>
    <row r="211" spans="1:7" ht="15" customHeight="1" x14ac:dyDescent="0.35">
      <c r="A211" s="3">
        <v>45303</v>
      </c>
      <c r="B211" s="4">
        <v>150.94999999999999</v>
      </c>
      <c r="C211" s="4">
        <v>151.30000000000001</v>
      </c>
      <c r="D211" s="4">
        <v>149.88999999999999</v>
      </c>
      <c r="E211" s="4">
        <v>150.6</v>
      </c>
      <c r="F211" s="4">
        <v>150.6</v>
      </c>
      <c r="G211" s="13">
        <f t="shared" si="3"/>
        <v>5.9796691249753122E-4</v>
      </c>
    </row>
    <row r="212" spans="1:7" ht="15" customHeight="1" x14ac:dyDescent="0.35">
      <c r="A212" s="3">
        <v>45302</v>
      </c>
      <c r="B212" s="4">
        <v>150.05000000000001</v>
      </c>
      <c r="C212" s="4">
        <v>150.80000000000001</v>
      </c>
      <c r="D212" s="4">
        <v>149.29</v>
      </c>
      <c r="E212" s="4">
        <v>150.51</v>
      </c>
      <c r="F212" s="4">
        <v>150.51</v>
      </c>
      <c r="G212" s="13">
        <f t="shared" si="3"/>
        <v>3.8015206082432518E-3</v>
      </c>
    </row>
    <row r="213" spans="1:7" ht="15" customHeight="1" x14ac:dyDescent="0.35">
      <c r="A213" s="3">
        <v>45301</v>
      </c>
      <c r="B213" s="4">
        <v>149.35</v>
      </c>
      <c r="C213" s="4">
        <v>150</v>
      </c>
      <c r="D213" s="4">
        <v>149.26</v>
      </c>
      <c r="E213" s="4">
        <v>149.94</v>
      </c>
      <c r="F213" s="4">
        <v>149.94</v>
      </c>
      <c r="G213" s="13">
        <f t="shared" si="3"/>
        <v>4.2866711319490044E-3</v>
      </c>
    </row>
    <row r="214" spans="1:7" ht="15" customHeight="1" x14ac:dyDescent="0.35">
      <c r="A214" s="3">
        <v>45300</v>
      </c>
      <c r="B214" s="4">
        <v>148.57</v>
      </c>
      <c r="C214" s="4">
        <v>149.4</v>
      </c>
      <c r="D214" s="4">
        <v>148.05000000000001</v>
      </c>
      <c r="E214" s="4">
        <v>149.30000000000001</v>
      </c>
      <c r="F214" s="4">
        <v>149.30000000000001</v>
      </c>
      <c r="G214" s="13">
        <f t="shared" si="3"/>
        <v>4.1024951240837557E-3</v>
      </c>
    </row>
    <row r="215" spans="1:7" ht="15" customHeight="1" x14ac:dyDescent="0.35">
      <c r="A215" s="3">
        <v>45299</v>
      </c>
      <c r="B215" s="4">
        <v>147.91</v>
      </c>
      <c r="C215" s="4">
        <v>148.91999999999999</v>
      </c>
      <c r="D215" s="4">
        <v>147.65</v>
      </c>
      <c r="E215" s="4">
        <v>148.69</v>
      </c>
      <c r="F215" s="4">
        <v>148.69</v>
      </c>
      <c r="G215" s="13">
        <f t="shared" si="3"/>
        <v>8.6148419481753523E-3</v>
      </c>
    </row>
    <row r="216" spans="1:7" ht="15" customHeight="1" x14ac:dyDescent="0.35">
      <c r="A216" s="3">
        <v>45296</v>
      </c>
      <c r="B216" s="4">
        <v>148.72</v>
      </c>
      <c r="C216" s="4">
        <v>148.87</v>
      </c>
      <c r="D216" s="4">
        <v>146.55000000000001</v>
      </c>
      <c r="E216" s="4">
        <v>147.41999999999999</v>
      </c>
      <c r="F216" s="4">
        <v>147.41999999999999</v>
      </c>
      <c r="G216" s="13">
        <f t="shared" si="3"/>
        <v>-8.2744702320889218E-3</v>
      </c>
    </row>
    <row r="217" spans="1:7" ht="15" customHeight="1" x14ac:dyDescent="0.35">
      <c r="A217" s="3">
        <v>45295</v>
      </c>
      <c r="B217" s="4">
        <v>148.05000000000001</v>
      </c>
      <c r="C217" s="4">
        <v>149.27000000000001</v>
      </c>
      <c r="D217" s="4">
        <v>147.77000000000001</v>
      </c>
      <c r="E217" s="4">
        <v>148.65</v>
      </c>
      <c r="F217" s="4">
        <v>148.65</v>
      </c>
      <c r="G217" s="13">
        <f t="shared" si="3"/>
        <v>5.4788961038961187E-3</v>
      </c>
    </row>
    <row r="218" spans="1:7" ht="15" customHeight="1" x14ac:dyDescent="0.35">
      <c r="A218" s="3">
        <v>45294</v>
      </c>
      <c r="B218" s="4">
        <v>148.34</v>
      </c>
      <c r="C218" s="4">
        <v>149.19999999999999</v>
      </c>
      <c r="D218" s="4">
        <v>147.18</v>
      </c>
      <c r="E218" s="4">
        <v>147.84</v>
      </c>
      <c r="F218" s="4">
        <v>147.84</v>
      </c>
      <c r="G218" s="13">
        <f t="shared" si="3"/>
        <v>-6.0508269463493726E-3</v>
      </c>
    </row>
    <row r="219" spans="1:7" ht="15" customHeight="1" x14ac:dyDescent="0.35">
      <c r="A219" s="3">
        <v>45293</v>
      </c>
      <c r="B219" s="4">
        <v>146.36000000000001</v>
      </c>
      <c r="C219" s="4">
        <v>149.41</v>
      </c>
      <c r="D219" s="4">
        <v>146.31</v>
      </c>
      <c r="E219" s="4">
        <v>148.74</v>
      </c>
      <c r="F219" s="4">
        <v>148.74</v>
      </c>
      <c r="G219" s="13">
        <f t="shared" si="3"/>
        <v>1.5012965743141921E-2</v>
      </c>
    </row>
    <row r="220" spans="1:7" ht="15" customHeight="1" x14ac:dyDescent="0.35">
      <c r="A220" s="3">
        <v>45289</v>
      </c>
      <c r="B220" s="4">
        <v>146</v>
      </c>
      <c r="C220" s="4">
        <v>146.96</v>
      </c>
      <c r="D220" s="4">
        <v>145.72999999999999</v>
      </c>
      <c r="E220" s="4">
        <v>146.54</v>
      </c>
      <c r="F220" s="4">
        <v>146.54</v>
      </c>
      <c r="G220" s="13">
        <f t="shared" si="3"/>
        <v>5.5582241130858598E-3</v>
      </c>
    </row>
    <row r="221" spans="1:7" ht="15" customHeight="1" x14ac:dyDescent="0.35">
      <c r="A221" s="3">
        <v>45288</v>
      </c>
      <c r="B221" s="4">
        <v>146</v>
      </c>
      <c r="C221" s="4">
        <v>146.01</v>
      </c>
      <c r="D221" s="4">
        <v>145.04</v>
      </c>
      <c r="E221" s="4">
        <v>145.72999999999999</v>
      </c>
      <c r="F221" s="4">
        <v>145.72999999999999</v>
      </c>
      <c r="G221" s="13">
        <f t="shared" si="3"/>
        <v>-2.2593454744626353E-3</v>
      </c>
    </row>
    <row r="222" spans="1:7" ht="15" customHeight="1" x14ac:dyDescent="0.35">
      <c r="A222" s="3">
        <v>45287</v>
      </c>
      <c r="B222" s="4">
        <v>145.65</v>
      </c>
      <c r="C222" s="4">
        <v>146.31</v>
      </c>
      <c r="D222" s="4">
        <v>145.36000000000001</v>
      </c>
      <c r="E222" s="4">
        <v>146.06</v>
      </c>
      <c r="F222" s="4">
        <v>146.06</v>
      </c>
      <c r="G222" s="13">
        <f t="shared" si="3"/>
        <v>8.2225572152942684E-4</v>
      </c>
    </row>
    <row r="223" spans="1:7" ht="15" customHeight="1" x14ac:dyDescent="0.35">
      <c r="A223" s="3">
        <v>45286</v>
      </c>
      <c r="B223" s="4">
        <v>145.09</v>
      </c>
      <c r="C223" s="4">
        <v>146.16999999999999</v>
      </c>
      <c r="D223" s="4">
        <v>144.97</v>
      </c>
      <c r="E223" s="4">
        <v>145.94</v>
      </c>
      <c r="F223" s="4">
        <v>145.94</v>
      </c>
      <c r="G223" s="13">
        <f t="shared" si="3"/>
        <v>4.5429515418501966E-3</v>
      </c>
    </row>
    <row r="224" spans="1:7" ht="15" customHeight="1" x14ac:dyDescent="0.35">
      <c r="A224" s="3">
        <v>45282</v>
      </c>
      <c r="B224" s="4">
        <v>144.5</v>
      </c>
      <c r="C224" s="4">
        <v>145.63</v>
      </c>
      <c r="D224" s="4">
        <v>144.29</v>
      </c>
      <c r="E224" s="4">
        <v>145.28</v>
      </c>
      <c r="F224" s="4">
        <v>145.28</v>
      </c>
      <c r="G224" s="13">
        <f t="shared" si="3"/>
        <v>7.0705670317483035E-3</v>
      </c>
    </row>
    <row r="225" spans="1:7" ht="15" customHeight="1" x14ac:dyDescent="0.35">
      <c r="A225" s="3">
        <v>45281</v>
      </c>
      <c r="B225" s="4">
        <v>144.52000000000001</v>
      </c>
      <c r="C225" s="4">
        <v>144.79</v>
      </c>
      <c r="D225" s="4">
        <v>143.13</v>
      </c>
      <c r="E225" s="4">
        <v>144.26</v>
      </c>
      <c r="F225" s="4">
        <v>144.26</v>
      </c>
      <c r="G225" s="13">
        <f t="shared" si="3"/>
        <v>2.4320756028072708E-3</v>
      </c>
    </row>
    <row r="226" spans="1:7" ht="15" customHeight="1" x14ac:dyDescent="0.35">
      <c r="A226" s="3">
        <v>45280</v>
      </c>
      <c r="B226" s="4">
        <v>145.57</v>
      </c>
      <c r="C226" s="4">
        <v>146.07</v>
      </c>
      <c r="D226" s="4">
        <v>143.84</v>
      </c>
      <c r="E226" s="4">
        <v>143.91</v>
      </c>
      <c r="F226" s="4">
        <v>143.91</v>
      </c>
      <c r="G226" s="13">
        <f t="shared" si="3"/>
        <v>-1.5461448997742294E-2</v>
      </c>
    </row>
    <row r="227" spans="1:7" ht="15" customHeight="1" x14ac:dyDescent="0.35">
      <c r="A227" s="3">
        <v>45279</v>
      </c>
      <c r="B227" s="4">
        <v>145.66999999999999</v>
      </c>
      <c r="C227" s="4">
        <v>146.34</v>
      </c>
      <c r="D227" s="4">
        <v>145.38999999999999</v>
      </c>
      <c r="E227" s="4">
        <v>146.16999999999999</v>
      </c>
      <c r="F227" s="4">
        <v>146.16999999999999</v>
      </c>
      <c r="G227" s="13">
        <f t="shared" si="3"/>
        <v>0</v>
      </c>
    </row>
    <row r="228" spans="1:7" ht="15" customHeight="1" x14ac:dyDescent="0.35">
      <c r="A228" s="3">
        <v>45278</v>
      </c>
      <c r="B228" s="4">
        <v>144.16999999999999</v>
      </c>
      <c r="C228" s="4">
        <v>147.49</v>
      </c>
      <c r="D228" s="4">
        <v>144.15</v>
      </c>
      <c r="E228" s="4">
        <v>146.16999999999999</v>
      </c>
      <c r="F228" s="4">
        <v>146.16999999999999</v>
      </c>
      <c r="G228" s="13">
        <f t="shared" si="3"/>
        <v>1.5351486524034312E-2</v>
      </c>
    </row>
    <row r="229" spans="1:7" ht="15" customHeight="1" x14ac:dyDescent="0.35">
      <c r="A229" s="3">
        <v>45275</v>
      </c>
      <c r="B229" s="4">
        <v>143.18</v>
      </c>
      <c r="C229" s="4">
        <v>144.25</v>
      </c>
      <c r="D229" s="4">
        <v>142.5</v>
      </c>
      <c r="E229" s="4">
        <v>143.96</v>
      </c>
      <c r="F229" s="4">
        <v>143.96</v>
      </c>
      <c r="G229" s="13">
        <f t="shared" si="3"/>
        <v>-4.8389326697082027E-3</v>
      </c>
    </row>
    <row r="230" spans="1:7" ht="15" customHeight="1" x14ac:dyDescent="0.35">
      <c r="A230" s="3">
        <v>45274</v>
      </c>
      <c r="B230" s="4">
        <v>148.46</v>
      </c>
      <c r="C230" s="4">
        <v>148.55000000000001</v>
      </c>
      <c r="D230" s="4">
        <v>144.38</v>
      </c>
      <c r="E230" s="4">
        <v>144.66</v>
      </c>
      <c r="F230" s="4">
        <v>144.66</v>
      </c>
      <c r="G230" s="13">
        <f t="shared" si="3"/>
        <v>-2.6383093283079927E-2</v>
      </c>
    </row>
    <row r="231" spans="1:7" ht="15" customHeight="1" x14ac:dyDescent="0.35">
      <c r="A231" s="3">
        <v>45273</v>
      </c>
      <c r="B231" s="4">
        <v>145.86000000000001</v>
      </c>
      <c r="C231" s="4">
        <v>148.65</v>
      </c>
      <c r="D231" s="4">
        <v>145.44999999999999</v>
      </c>
      <c r="E231" s="4">
        <v>148.58000000000001</v>
      </c>
      <c r="F231" s="4">
        <v>148.58000000000001</v>
      </c>
      <c r="G231" s="13">
        <f t="shared" si="3"/>
        <v>1.8089625873646806E-2</v>
      </c>
    </row>
    <row r="232" spans="1:7" ht="15" customHeight="1" x14ac:dyDescent="0.35">
      <c r="A232" s="3">
        <v>45272</v>
      </c>
      <c r="B232" s="4">
        <v>145.86000000000001</v>
      </c>
      <c r="C232" s="4">
        <v>146.22999999999999</v>
      </c>
      <c r="D232" s="4">
        <v>145.08000000000001</v>
      </c>
      <c r="E232" s="4">
        <v>145.94</v>
      </c>
      <c r="F232" s="4">
        <v>145.94</v>
      </c>
      <c r="G232" s="13">
        <f t="shared" si="3"/>
        <v>8.2293238238927819E-4</v>
      </c>
    </row>
    <row r="233" spans="1:7" ht="15" customHeight="1" x14ac:dyDescent="0.35">
      <c r="A233" s="3">
        <v>45271</v>
      </c>
      <c r="B233" s="4">
        <v>144.80000000000001</v>
      </c>
      <c r="C233" s="4">
        <v>145.87</v>
      </c>
      <c r="D233" s="4">
        <v>144.65</v>
      </c>
      <c r="E233" s="4">
        <v>145.82</v>
      </c>
      <c r="F233" s="4">
        <v>145.82</v>
      </c>
      <c r="G233" s="13">
        <f t="shared" si="3"/>
        <v>4.6159145711332237E-3</v>
      </c>
    </row>
    <row r="234" spans="1:7" ht="15" customHeight="1" x14ac:dyDescent="0.35">
      <c r="A234" s="3">
        <v>45268</v>
      </c>
      <c r="B234" s="4">
        <v>145.91999999999999</v>
      </c>
      <c r="C234" s="4">
        <v>146.24</v>
      </c>
      <c r="D234" s="4">
        <v>144.52000000000001</v>
      </c>
      <c r="E234" s="4">
        <v>145.15</v>
      </c>
      <c r="F234" s="4">
        <v>145.15</v>
      </c>
      <c r="G234" s="13">
        <f t="shared" si="3"/>
        <v>-9.2150170648463772E-3</v>
      </c>
    </row>
    <row r="235" spans="1:7" ht="15" customHeight="1" x14ac:dyDescent="0.35">
      <c r="A235" s="3">
        <v>45267</v>
      </c>
      <c r="B235" s="4">
        <v>146.57</v>
      </c>
      <c r="C235" s="4">
        <v>147.1</v>
      </c>
      <c r="D235" s="4">
        <v>146.02000000000001</v>
      </c>
      <c r="E235" s="4">
        <v>146.5</v>
      </c>
      <c r="F235" s="4">
        <v>146.5</v>
      </c>
      <c r="G235" s="13">
        <f t="shared" si="3"/>
        <v>-1.0228435049437824E-3</v>
      </c>
    </row>
    <row r="236" spans="1:7" ht="15" customHeight="1" x14ac:dyDescent="0.35">
      <c r="A236" s="3">
        <v>45266</v>
      </c>
      <c r="B236" s="4">
        <v>147.01</v>
      </c>
      <c r="C236" s="4">
        <v>147.16</v>
      </c>
      <c r="D236" s="4">
        <v>145.63999999999999</v>
      </c>
      <c r="E236" s="4">
        <v>146.65</v>
      </c>
      <c r="F236" s="4">
        <v>146.65</v>
      </c>
      <c r="G236" s="13">
        <f t="shared" si="3"/>
        <v>-7.4952303079848202E-4</v>
      </c>
    </row>
    <row r="237" spans="1:7" ht="15" customHeight="1" x14ac:dyDescent="0.35">
      <c r="A237" s="3">
        <v>45265</v>
      </c>
      <c r="B237" s="4">
        <v>152.13999999999999</v>
      </c>
      <c r="C237" s="4">
        <v>152.61000000000001</v>
      </c>
      <c r="D237" s="4">
        <v>146.18</v>
      </c>
      <c r="E237" s="4">
        <v>146.76</v>
      </c>
      <c r="F237" s="4">
        <v>146.76</v>
      </c>
      <c r="G237" s="13">
        <f t="shared" si="3"/>
        <v>-3.4854662633171191E-2</v>
      </c>
    </row>
    <row r="238" spans="1:7" ht="15" customHeight="1" x14ac:dyDescent="0.35">
      <c r="A238" s="3">
        <v>45264</v>
      </c>
      <c r="B238" s="4">
        <v>151.77000000000001</v>
      </c>
      <c r="C238" s="4">
        <v>152.53</v>
      </c>
      <c r="D238" s="4">
        <v>151.66</v>
      </c>
      <c r="E238" s="4">
        <v>152.06</v>
      </c>
      <c r="F238" s="4">
        <v>152.06</v>
      </c>
      <c r="G238" s="13">
        <f t="shared" si="3"/>
        <v>-3.9303026333027272E-3</v>
      </c>
    </row>
    <row r="239" spans="1:7" ht="15" customHeight="1" x14ac:dyDescent="0.35">
      <c r="A239" s="3">
        <v>45261</v>
      </c>
      <c r="B239" s="4">
        <v>153.33000000000001</v>
      </c>
      <c r="C239" s="4">
        <v>153.49</v>
      </c>
      <c r="D239" s="4">
        <v>152.22999999999999</v>
      </c>
      <c r="E239" s="4">
        <v>152.66</v>
      </c>
      <c r="F239" s="4">
        <v>152.66</v>
      </c>
      <c r="G239" s="13">
        <f t="shared" si="3"/>
        <v>-5.6018759770714802E-3</v>
      </c>
    </row>
    <row r="240" spans="1:7" ht="15" customHeight="1" x14ac:dyDescent="0.35">
      <c r="A240" s="3">
        <v>45260</v>
      </c>
      <c r="B240" s="4">
        <v>150.9</v>
      </c>
      <c r="C240" s="4">
        <v>153.63</v>
      </c>
      <c r="D240" s="4">
        <v>150.08000000000001</v>
      </c>
      <c r="E240" s="4">
        <v>153.52000000000001</v>
      </c>
      <c r="F240" s="4">
        <v>153.52000000000001</v>
      </c>
      <c r="G240" s="13">
        <f t="shared" si="3"/>
        <v>1.581419969562638E-2</v>
      </c>
    </row>
    <row r="241" spans="1:7" ht="15" customHeight="1" x14ac:dyDescent="0.35">
      <c r="A241" s="3">
        <v>45259</v>
      </c>
      <c r="B241" s="4">
        <v>152.29</v>
      </c>
      <c r="C241" s="4">
        <v>152.44999999999999</v>
      </c>
      <c r="D241" s="4">
        <v>150.99</v>
      </c>
      <c r="E241" s="4">
        <v>151.13</v>
      </c>
      <c r="F241" s="4">
        <v>151.13</v>
      </c>
      <c r="G241" s="13">
        <f t="shared" si="3"/>
        <v>-7.6170464245846519E-3</v>
      </c>
    </row>
    <row r="242" spans="1:7" ht="15" customHeight="1" x14ac:dyDescent="0.35">
      <c r="A242" s="3">
        <v>45258</v>
      </c>
      <c r="B242" s="4">
        <v>151.15</v>
      </c>
      <c r="C242" s="4">
        <v>152.77000000000001</v>
      </c>
      <c r="D242" s="4">
        <v>151.15</v>
      </c>
      <c r="E242" s="4">
        <v>152.29</v>
      </c>
      <c r="F242" s="4">
        <v>152.29</v>
      </c>
      <c r="G242" s="13">
        <f t="shared" si="3"/>
        <v>6.9426077757205953E-3</v>
      </c>
    </row>
    <row r="243" spans="1:7" ht="15" customHeight="1" x14ac:dyDescent="0.35">
      <c r="A243" s="3">
        <v>45257</v>
      </c>
      <c r="B243" s="4">
        <v>151.52000000000001</v>
      </c>
      <c r="C243" s="4">
        <v>151.63999999999999</v>
      </c>
      <c r="D243" s="4">
        <v>150.74</v>
      </c>
      <c r="E243" s="4">
        <v>151.24</v>
      </c>
      <c r="F243" s="4">
        <v>151.24</v>
      </c>
      <c r="G243" s="13">
        <f t="shared" si="3"/>
        <v>-9.2482494384982402E-4</v>
      </c>
    </row>
    <row r="244" spans="1:7" ht="15" customHeight="1" x14ac:dyDescent="0.35">
      <c r="A244" s="3">
        <v>45254</v>
      </c>
      <c r="B244" s="4">
        <v>151.18</v>
      </c>
      <c r="C244" s="4">
        <v>151.74</v>
      </c>
      <c r="D244" s="4">
        <v>151.03</v>
      </c>
      <c r="E244" s="4">
        <v>151.38</v>
      </c>
      <c r="F244" s="4">
        <v>151.38</v>
      </c>
      <c r="G244" s="13">
        <f t="shared" si="3"/>
        <v>2.3837902264599734E-3</v>
      </c>
    </row>
    <row r="245" spans="1:7" ht="15" customHeight="1" x14ac:dyDescent="0.35">
      <c r="A245" s="3">
        <v>45252</v>
      </c>
      <c r="B245" s="4">
        <v>150.1</v>
      </c>
      <c r="C245" s="4">
        <v>151.47999999999999</v>
      </c>
      <c r="D245" s="4">
        <v>150.1</v>
      </c>
      <c r="E245" s="4">
        <v>151.02000000000001</v>
      </c>
      <c r="F245" s="4">
        <v>151.02000000000001</v>
      </c>
      <c r="G245" s="13">
        <f t="shared" si="3"/>
        <v>9.4245037096450535E-3</v>
      </c>
    </row>
    <row r="246" spans="1:7" ht="15" customHeight="1" x14ac:dyDescent="0.35">
      <c r="A246" s="3">
        <v>45251</v>
      </c>
      <c r="B246" s="4">
        <v>149.85</v>
      </c>
      <c r="C246" s="4">
        <v>150.01</v>
      </c>
      <c r="D246" s="4">
        <v>148.83000000000001</v>
      </c>
      <c r="E246" s="4">
        <v>149.61000000000001</v>
      </c>
      <c r="F246" s="4">
        <v>149.61000000000001</v>
      </c>
      <c r="G246" s="13">
        <f t="shared" si="3"/>
        <v>-4.3920942303852838E-3</v>
      </c>
    </row>
    <row r="247" spans="1:7" ht="15" customHeight="1" x14ac:dyDescent="0.35">
      <c r="A247" s="3">
        <v>45250</v>
      </c>
      <c r="B247" s="4">
        <v>150.21</v>
      </c>
      <c r="C247" s="4">
        <v>151.03</v>
      </c>
      <c r="D247" s="4">
        <v>149.66</v>
      </c>
      <c r="E247" s="4">
        <v>150.27000000000001</v>
      </c>
      <c r="F247" s="4">
        <v>150.27000000000001</v>
      </c>
      <c r="G247" s="13">
        <f t="shared" si="3"/>
        <v>-5.2955583504334615E-3</v>
      </c>
    </row>
    <row r="248" spans="1:7" ht="15" customHeight="1" x14ac:dyDescent="0.35">
      <c r="A248" s="3">
        <v>45247</v>
      </c>
      <c r="B248" s="4">
        <v>152.72</v>
      </c>
      <c r="C248" s="4">
        <v>152.84</v>
      </c>
      <c r="D248" s="4">
        <v>150.88999999999999</v>
      </c>
      <c r="E248" s="4">
        <v>151.07</v>
      </c>
      <c r="F248" s="4">
        <v>151.07</v>
      </c>
      <c r="G248" s="13">
        <f t="shared" si="3"/>
        <v>-1.1516063600078645E-2</v>
      </c>
    </row>
    <row r="249" spans="1:7" ht="15" customHeight="1" x14ac:dyDescent="0.35">
      <c r="A249" s="3">
        <v>45246</v>
      </c>
      <c r="B249" s="4">
        <v>151.99</v>
      </c>
      <c r="C249" s="4">
        <v>152.88999999999999</v>
      </c>
      <c r="D249" s="4">
        <v>151.31</v>
      </c>
      <c r="E249" s="4">
        <v>152.83000000000001</v>
      </c>
      <c r="F249" s="4">
        <v>152.83000000000001</v>
      </c>
      <c r="G249" s="13">
        <f t="shared" si="3"/>
        <v>9.3118478404439643E-3</v>
      </c>
    </row>
    <row r="250" spans="1:7" ht="15" customHeight="1" x14ac:dyDescent="0.35">
      <c r="A250" s="3">
        <v>45245</v>
      </c>
      <c r="B250" s="4">
        <v>152.06</v>
      </c>
      <c r="C250" s="4">
        <v>152.38999999999999</v>
      </c>
      <c r="D250" s="4">
        <v>150.38</v>
      </c>
      <c r="E250" s="4">
        <v>151.41999999999999</v>
      </c>
      <c r="F250" s="4">
        <v>151.41999999999999</v>
      </c>
      <c r="G250" s="13">
        <f t="shared" si="3"/>
        <v>-4.6016302918749476E-3</v>
      </c>
    </row>
    <row r="251" spans="1:7" ht="15" customHeight="1" x14ac:dyDescent="0.35">
      <c r="A251" s="3">
        <v>45244</v>
      </c>
      <c r="B251" s="4">
        <v>152.55000000000001</v>
      </c>
      <c r="C251" s="4">
        <v>153.5</v>
      </c>
      <c r="D251" s="4">
        <v>151.68</v>
      </c>
      <c r="E251" s="4">
        <v>152.12</v>
      </c>
      <c r="F251" s="4">
        <v>152.12</v>
      </c>
      <c r="G251" s="13">
        <f t="shared" si="3"/>
        <v>-2.2300931391840704E-3</v>
      </c>
    </row>
    <row r="252" spans="1:7" ht="15" customHeight="1" x14ac:dyDescent="0.35">
      <c r="A252" s="3">
        <v>45243</v>
      </c>
      <c r="B252" s="4">
        <v>151.44999999999999</v>
      </c>
      <c r="C252" s="4">
        <v>152.9</v>
      </c>
      <c r="D252" s="4">
        <v>151.44999999999999</v>
      </c>
      <c r="E252" s="4">
        <v>152.46</v>
      </c>
      <c r="F252" s="4">
        <v>152.46</v>
      </c>
      <c r="G252" s="13">
        <f t="shared" si="3"/>
        <v>6.9348127600555535E-3</v>
      </c>
    </row>
    <row r="253" spans="1:7" ht="15" customHeight="1" x14ac:dyDescent="0.35">
      <c r="A253" s="3">
        <v>45240</v>
      </c>
      <c r="B253" s="4">
        <v>150.84</v>
      </c>
      <c r="C253" s="4">
        <v>151.44</v>
      </c>
      <c r="D253" s="4">
        <v>149.91999999999999</v>
      </c>
      <c r="E253" s="4">
        <v>151.41</v>
      </c>
      <c r="F253" s="4">
        <v>151.41</v>
      </c>
      <c r="G253" s="13">
        <f t="shared" si="3"/>
        <v>7.0502161622880101E-3</v>
      </c>
    </row>
    <row r="254" spans="1:7" ht="15" customHeight="1" x14ac:dyDescent="0.35">
      <c r="A254" s="3">
        <v>45239</v>
      </c>
      <c r="B254" s="4">
        <v>149.74</v>
      </c>
      <c r="C254" s="4">
        <v>150.35</v>
      </c>
      <c r="D254" s="4">
        <v>149.12</v>
      </c>
      <c r="E254" s="4">
        <v>150.35</v>
      </c>
      <c r="F254" s="4">
        <v>150.35</v>
      </c>
      <c r="G254" s="13">
        <f t="shared" si="3"/>
        <v>2.2665155656289809E-3</v>
      </c>
    </row>
    <row r="255" spans="1:7" ht="15" customHeight="1" x14ac:dyDescent="0.35">
      <c r="A255" s="3">
        <v>45238</v>
      </c>
      <c r="B255" s="4">
        <v>150.96</v>
      </c>
      <c r="C255" s="4">
        <v>151.19999999999999</v>
      </c>
      <c r="D255" s="4">
        <v>149.51</v>
      </c>
      <c r="E255" s="4">
        <v>150.01</v>
      </c>
      <c r="F255" s="4">
        <v>150.01</v>
      </c>
      <c r="G255" s="13">
        <f t="shared" si="3"/>
        <v>-3.8515173650309617E-3</v>
      </c>
    </row>
    <row r="256" spans="1:7" ht="15" customHeight="1" x14ac:dyDescent="0.35">
      <c r="A256" s="3">
        <v>45237</v>
      </c>
      <c r="B256" s="4">
        <v>150.91999999999999</v>
      </c>
      <c r="C256" s="4">
        <v>151.25</v>
      </c>
      <c r="D256" s="4">
        <v>150.12</v>
      </c>
      <c r="E256" s="4">
        <v>150.59</v>
      </c>
      <c r="F256" s="4">
        <v>150.59</v>
      </c>
      <c r="G256" s="13">
        <f t="shared" si="3"/>
        <v>-2.3188021730488561E-3</v>
      </c>
    </row>
    <row r="257" spans="1:7" ht="15" customHeight="1" x14ac:dyDescent="0.35">
      <c r="A257" s="3">
        <v>45236</v>
      </c>
      <c r="B257" s="4">
        <v>150.36000000000001</v>
      </c>
      <c r="C257" s="4">
        <v>151.25</v>
      </c>
      <c r="D257" s="4">
        <v>150.1</v>
      </c>
      <c r="E257" s="4">
        <v>150.94</v>
      </c>
      <c r="F257" s="4">
        <v>150.94</v>
      </c>
      <c r="G257" s="13">
        <f t="shared" si="3"/>
        <v>5.797294595855298E-3</v>
      </c>
    </row>
    <row r="258" spans="1:7" ht="15" customHeight="1" x14ac:dyDescent="0.35">
      <c r="A258" s="3">
        <v>45233</v>
      </c>
      <c r="B258" s="4">
        <v>151.79</v>
      </c>
      <c r="C258" s="4">
        <v>152.29</v>
      </c>
      <c r="D258" s="4">
        <v>149.62</v>
      </c>
      <c r="E258" s="4">
        <v>150.07</v>
      </c>
      <c r="F258" s="4">
        <v>150.07</v>
      </c>
      <c r="G258" s="13">
        <f t="shared" ref="G258:G321" si="4">(F258-F259)/F259</f>
        <v>-9.0464870575805902E-3</v>
      </c>
    </row>
    <row r="259" spans="1:7" ht="15" customHeight="1" x14ac:dyDescent="0.35">
      <c r="A259" s="3">
        <v>45232</v>
      </c>
      <c r="B259" s="4">
        <v>149.54</v>
      </c>
      <c r="C259" s="4">
        <v>151.65</v>
      </c>
      <c r="D259" s="4">
        <v>148.91</v>
      </c>
      <c r="E259" s="4">
        <v>151.44</v>
      </c>
      <c r="F259" s="4">
        <v>151.44</v>
      </c>
      <c r="G259" s="13">
        <f t="shared" si="4"/>
        <v>1.2231802686986057E-2</v>
      </c>
    </row>
    <row r="260" spans="1:7" ht="15" customHeight="1" x14ac:dyDescent="0.35">
      <c r="A260" s="3">
        <v>45231</v>
      </c>
      <c r="B260" s="4">
        <v>150.68</v>
      </c>
      <c r="C260" s="4">
        <v>150.68</v>
      </c>
      <c r="D260" s="4">
        <v>149.21</v>
      </c>
      <c r="E260" s="4">
        <v>149.61000000000001</v>
      </c>
      <c r="F260" s="4">
        <v>149.61000000000001</v>
      </c>
      <c r="G260" s="13">
        <f t="shared" si="4"/>
        <v>-2.7994401119775213E-3</v>
      </c>
    </row>
    <row r="261" spans="1:7" ht="15" customHeight="1" x14ac:dyDescent="0.35">
      <c r="A261" s="3">
        <v>45230</v>
      </c>
      <c r="B261" s="4">
        <v>149.46</v>
      </c>
      <c r="C261" s="4">
        <v>150.26</v>
      </c>
      <c r="D261" s="4">
        <v>148.63999999999999</v>
      </c>
      <c r="E261" s="4">
        <v>150.03</v>
      </c>
      <c r="F261" s="4">
        <v>150.03</v>
      </c>
      <c r="G261" s="13">
        <f t="shared" si="4"/>
        <v>5.158783331100163E-3</v>
      </c>
    </row>
    <row r="262" spans="1:7" ht="15" customHeight="1" x14ac:dyDescent="0.35">
      <c r="A262" s="3">
        <v>45229</v>
      </c>
      <c r="B262" s="4">
        <v>147.9</v>
      </c>
      <c r="C262" s="4">
        <v>149.55000000000001</v>
      </c>
      <c r="D262" s="4">
        <v>147.54</v>
      </c>
      <c r="E262" s="4">
        <v>149.26</v>
      </c>
      <c r="F262" s="4">
        <v>149.26</v>
      </c>
      <c r="G262" s="13">
        <f t="shared" si="4"/>
        <v>1.4270182114705045E-2</v>
      </c>
    </row>
    <row r="263" spans="1:7" ht="15" customHeight="1" x14ac:dyDescent="0.35">
      <c r="A263" s="3">
        <v>45226</v>
      </c>
      <c r="B263" s="4">
        <v>148.97999999999999</v>
      </c>
      <c r="C263" s="4">
        <v>149.94999999999999</v>
      </c>
      <c r="D263" s="4">
        <v>146.28</v>
      </c>
      <c r="E263" s="4">
        <v>147.16</v>
      </c>
      <c r="F263" s="4">
        <v>147.16</v>
      </c>
      <c r="G263" s="13">
        <f t="shared" si="4"/>
        <v>-1.762349799732987E-2</v>
      </c>
    </row>
    <row r="264" spans="1:7" ht="15" customHeight="1" x14ac:dyDescent="0.35">
      <c r="A264" s="3">
        <v>45225</v>
      </c>
      <c r="B264" s="4">
        <v>151.05000000000001</v>
      </c>
      <c r="C264" s="4">
        <v>151.38</v>
      </c>
      <c r="D264" s="4">
        <v>149.74</v>
      </c>
      <c r="E264" s="4">
        <v>149.80000000000001</v>
      </c>
      <c r="F264" s="4">
        <v>149.80000000000001</v>
      </c>
      <c r="G264" s="13">
        <f t="shared" si="4"/>
        <v>-5.3120849933597806E-3</v>
      </c>
    </row>
    <row r="265" spans="1:7" ht="15" customHeight="1" x14ac:dyDescent="0.35">
      <c r="A265" s="3">
        <v>45224</v>
      </c>
      <c r="B265" s="4">
        <v>149.63999999999999</v>
      </c>
      <c r="C265" s="4">
        <v>151.19</v>
      </c>
      <c r="D265" s="4">
        <v>149.12</v>
      </c>
      <c r="E265" s="4">
        <v>150.6</v>
      </c>
      <c r="F265" s="4">
        <v>150.6</v>
      </c>
      <c r="G265" s="13">
        <f t="shared" si="4"/>
        <v>4.6697798532354144E-3</v>
      </c>
    </row>
    <row r="266" spans="1:7" ht="15" customHeight="1" x14ac:dyDescent="0.35">
      <c r="A266" s="3">
        <v>45223</v>
      </c>
      <c r="B266" s="4">
        <v>148.12</v>
      </c>
      <c r="C266" s="4">
        <v>150.07</v>
      </c>
      <c r="D266" s="4">
        <v>148.07</v>
      </c>
      <c r="E266" s="4">
        <v>149.9</v>
      </c>
      <c r="F266" s="4">
        <v>149.9</v>
      </c>
      <c r="G266" s="13">
        <f t="shared" si="4"/>
        <v>1.181235234559568E-2</v>
      </c>
    </row>
    <row r="267" spans="1:7" ht="15" customHeight="1" x14ac:dyDescent="0.35">
      <c r="A267" s="3">
        <v>45222</v>
      </c>
      <c r="B267" s="4">
        <v>147.86000000000001</v>
      </c>
      <c r="C267" s="4">
        <v>149.5</v>
      </c>
      <c r="D267" s="4">
        <v>147.56</v>
      </c>
      <c r="E267" s="4">
        <v>148.15</v>
      </c>
      <c r="F267" s="4">
        <v>148.15</v>
      </c>
      <c r="G267" s="13">
        <f t="shared" si="4"/>
        <v>6.7544748395808381E-4</v>
      </c>
    </row>
    <row r="268" spans="1:7" ht="15" customHeight="1" x14ac:dyDescent="0.35">
      <c r="A268" s="3">
        <v>45219</v>
      </c>
      <c r="B268" s="4">
        <v>149.05000000000001</v>
      </c>
      <c r="C268" s="4">
        <v>149.88</v>
      </c>
      <c r="D268" s="4">
        <v>147.91999999999999</v>
      </c>
      <c r="E268" s="4">
        <v>148.05000000000001</v>
      </c>
      <c r="F268" s="4">
        <v>148.05000000000001</v>
      </c>
      <c r="G268" s="13">
        <f t="shared" si="4"/>
        <v>-1.3490725126474781E-3</v>
      </c>
    </row>
    <row r="269" spans="1:7" ht="15" customHeight="1" x14ac:dyDescent="0.35">
      <c r="A269" s="3">
        <v>45218</v>
      </c>
      <c r="B269" s="4">
        <v>149.61000000000001</v>
      </c>
      <c r="C269" s="4">
        <v>150.28</v>
      </c>
      <c r="D269" s="4">
        <v>147.18</v>
      </c>
      <c r="E269" s="4">
        <v>148.25</v>
      </c>
      <c r="F269" s="4">
        <v>148.25</v>
      </c>
      <c r="G269" s="13">
        <f t="shared" si="4"/>
        <v>-1.1864293807905093E-2</v>
      </c>
    </row>
    <row r="270" spans="1:7" ht="15" customHeight="1" x14ac:dyDescent="0.35">
      <c r="A270" s="3">
        <v>45217</v>
      </c>
      <c r="B270" s="4">
        <v>150.06</v>
      </c>
      <c r="C270" s="4">
        <v>151.30000000000001</v>
      </c>
      <c r="D270" s="4">
        <v>148.77000000000001</v>
      </c>
      <c r="E270" s="4">
        <v>150.03</v>
      </c>
      <c r="F270" s="4">
        <v>150.03</v>
      </c>
      <c r="G270" s="13">
        <f t="shared" si="4"/>
        <v>2.5776015315192195E-2</v>
      </c>
    </row>
    <row r="271" spans="1:7" ht="15" customHeight="1" x14ac:dyDescent="0.35">
      <c r="A271" s="3">
        <v>45216</v>
      </c>
      <c r="B271" s="4">
        <v>146.11000000000001</v>
      </c>
      <c r="C271" s="4">
        <v>146.82</v>
      </c>
      <c r="D271" s="4">
        <v>145.24</v>
      </c>
      <c r="E271" s="4">
        <v>146.26</v>
      </c>
      <c r="F271" s="4">
        <v>146.26</v>
      </c>
      <c r="G271" s="13">
        <f t="shared" si="4"/>
        <v>1.3007462175669044E-3</v>
      </c>
    </row>
    <row r="272" spans="1:7" ht="15" customHeight="1" x14ac:dyDescent="0.35">
      <c r="A272" s="3">
        <v>45215</v>
      </c>
      <c r="B272" s="4">
        <v>145.86000000000001</v>
      </c>
      <c r="C272" s="4">
        <v>147.06</v>
      </c>
      <c r="D272" s="4">
        <v>145.46</v>
      </c>
      <c r="E272" s="4">
        <v>146.07</v>
      </c>
      <c r="F272" s="4">
        <v>146.07</v>
      </c>
      <c r="G272" s="13">
        <f t="shared" si="4"/>
        <v>9.5376321791415825E-3</v>
      </c>
    </row>
    <row r="273" spans="1:7" ht="15" customHeight="1" x14ac:dyDescent="0.35">
      <c r="A273" s="3">
        <v>45212</v>
      </c>
      <c r="B273" s="4">
        <v>143.19</v>
      </c>
      <c r="C273" s="4">
        <v>145.03</v>
      </c>
      <c r="D273" s="4">
        <v>143.19</v>
      </c>
      <c r="E273" s="4">
        <v>144.69</v>
      </c>
      <c r="F273" s="4">
        <v>144.69</v>
      </c>
      <c r="G273" s="13">
        <f t="shared" si="4"/>
        <v>9.5590287468602046E-3</v>
      </c>
    </row>
    <row r="274" spans="1:7" ht="15" customHeight="1" x14ac:dyDescent="0.35">
      <c r="A274" s="3">
        <v>45211</v>
      </c>
      <c r="B274" s="4">
        <v>142.79</v>
      </c>
      <c r="C274" s="4">
        <v>143.93</v>
      </c>
      <c r="D274" s="4">
        <v>141.66</v>
      </c>
      <c r="E274" s="4">
        <v>143.32</v>
      </c>
      <c r="F274" s="4">
        <v>143.32</v>
      </c>
      <c r="G274" s="13">
        <f t="shared" si="4"/>
        <v>2.2377622377621901E-3</v>
      </c>
    </row>
    <row r="275" spans="1:7" ht="15" customHeight="1" x14ac:dyDescent="0.35">
      <c r="A275" s="3">
        <v>45210</v>
      </c>
      <c r="B275" s="4">
        <v>145.13999999999999</v>
      </c>
      <c r="C275" s="4">
        <v>145.56</v>
      </c>
      <c r="D275" s="4">
        <v>142.56</v>
      </c>
      <c r="E275" s="4">
        <v>143</v>
      </c>
      <c r="F275" s="4">
        <v>143</v>
      </c>
      <c r="G275" s="13">
        <f t="shared" si="4"/>
        <v>-1.2294515817101817E-2</v>
      </c>
    </row>
    <row r="276" spans="1:7" ht="15" customHeight="1" x14ac:dyDescent="0.35">
      <c r="A276" s="3">
        <v>45209</v>
      </c>
      <c r="B276" s="4">
        <v>143.97999999999999</v>
      </c>
      <c r="C276" s="4">
        <v>145.22</v>
      </c>
      <c r="D276" s="4">
        <v>143.72</v>
      </c>
      <c r="E276" s="4">
        <v>144.78</v>
      </c>
      <c r="F276" s="4">
        <v>144.78</v>
      </c>
      <c r="G276" s="13">
        <f t="shared" si="4"/>
        <v>9.9051339285713396E-3</v>
      </c>
    </row>
    <row r="277" spans="1:7" ht="15" customHeight="1" x14ac:dyDescent="0.35">
      <c r="A277" s="3">
        <v>45208</v>
      </c>
      <c r="B277" s="4">
        <v>143.36000000000001</v>
      </c>
      <c r="C277" s="4">
        <v>143.97</v>
      </c>
      <c r="D277" s="4">
        <v>141.6</v>
      </c>
      <c r="E277" s="4">
        <v>143.36000000000001</v>
      </c>
      <c r="F277" s="4">
        <v>143.36000000000001</v>
      </c>
      <c r="G277" s="13">
        <f t="shared" si="4"/>
        <v>-5.0662780206814475E-3</v>
      </c>
    </row>
    <row r="278" spans="1:7" ht="15" customHeight="1" x14ac:dyDescent="0.35">
      <c r="A278" s="3">
        <v>45205</v>
      </c>
      <c r="B278" s="4">
        <v>143.6</v>
      </c>
      <c r="C278" s="4">
        <v>144.56</v>
      </c>
      <c r="D278" s="4">
        <v>141.44999999999999</v>
      </c>
      <c r="E278" s="4">
        <v>144.09</v>
      </c>
      <c r="F278" s="4">
        <v>144.09</v>
      </c>
      <c r="G278" s="13">
        <f t="shared" si="4"/>
        <v>2.0166898470096802E-3</v>
      </c>
    </row>
    <row r="279" spans="1:7" ht="15" customHeight="1" x14ac:dyDescent="0.35">
      <c r="A279" s="3">
        <v>45204</v>
      </c>
      <c r="B279" s="4">
        <v>145.68</v>
      </c>
      <c r="C279" s="4">
        <v>146.09</v>
      </c>
      <c r="D279" s="4">
        <v>143.69</v>
      </c>
      <c r="E279" s="4">
        <v>143.80000000000001</v>
      </c>
      <c r="F279" s="4">
        <v>143.80000000000001</v>
      </c>
      <c r="G279" s="13">
        <f t="shared" si="4"/>
        <v>-1.4866068370212973E-2</v>
      </c>
    </row>
    <row r="280" spans="1:7" ht="15" customHeight="1" x14ac:dyDescent="0.35">
      <c r="A280" s="3">
        <v>45203</v>
      </c>
      <c r="B280" s="4">
        <v>145.59</v>
      </c>
      <c r="C280" s="4">
        <v>146.31</v>
      </c>
      <c r="D280" s="4">
        <v>144.93</v>
      </c>
      <c r="E280" s="4">
        <v>145.97</v>
      </c>
      <c r="F280" s="4">
        <v>145.97</v>
      </c>
      <c r="G280" s="13">
        <f t="shared" si="4"/>
        <v>3.2991958210185561E-3</v>
      </c>
    </row>
    <row r="281" spans="1:7" ht="15" customHeight="1" x14ac:dyDescent="0.35">
      <c r="A281" s="3">
        <v>45202</v>
      </c>
      <c r="B281" s="4">
        <v>145.16999999999999</v>
      </c>
      <c r="C281" s="4">
        <v>146.49</v>
      </c>
      <c r="D281" s="4">
        <v>145.01</v>
      </c>
      <c r="E281" s="4">
        <v>145.49</v>
      </c>
      <c r="F281" s="4">
        <v>145.49</v>
      </c>
      <c r="G281" s="13">
        <f t="shared" si="4"/>
        <v>2.0662580067498547E-3</v>
      </c>
    </row>
    <row r="282" spans="1:7" ht="15" customHeight="1" x14ac:dyDescent="0.35">
      <c r="A282" s="3">
        <v>45201</v>
      </c>
      <c r="B282" s="4">
        <v>144.78</v>
      </c>
      <c r="C282" s="4">
        <v>145.6</v>
      </c>
      <c r="D282" s="4">
        <v>143.9</v>
      </c>
      <c r="E282" s="4">
        <v>145.19</v>
      </c>
      <c r="F282" s="4">
        <v>145.19</v>
      </c>
      <c r="G282" s="13">
        <f t="shared" si="4"/>
        <v>-4.5934457699164672E-3</v>
      </c>
    </row>
    <row r="283" spans="1:7" ht="15" customHeight="1" x14ac:dyDescent="0.35">
      <c r="A283" s="3">
        <v>45198</v>
      </c>
      <c r="B283" s="4">
        <v>146.54</v>
      </c>
      <c r="C283" s="4">
        <v>146.77000000000001</v>
      </c>
      <c r="D283" s="4">
        <v>144.82</v>
      </c>
      <c r="E283" s="4">
        <v>145.86000000000001</v>
      </c>
      <c r="F283" s="4">
        <v>145.86000000000001</v>
      </c>
      <c r="G283" s="13">
        <f t="shared" si="4"/>
        <v>-3.2800328003279333E-3</v>
      </c>
    </row>
    <row r="284" spans="1:7" ht="15" customHeight="1" x14ac:dyDescent="0.35">
      <c r="A284" s="3">
        <v>45197</v>
      </c>
      <c r="B284" s="4">
        <v>147.82</v>
      </c>
      <c r="C284" s="4">
        <v>147.97999999999999</v>
      </c>
      <c r="D284" s="4">
        <v>145.68</v>
      </c>
      <c r="E284" s="4">
        <v>146.34</v>
      </c>
      <c r="F284" s="4">
        <v>146.34</v>
      </c>
      <c r="G284" s="13">
        <f t="shared" si="4"/>
        <v>-6.787023211619384E-3</v>
      </c>
    </row>
    <row r="285" spans="1:7" ht="15" customHeight="1" x14ac:dyDescent="0.35">
      <c r="A285" s="3">
        <v>45196</v>
      </c>
      <c r="B285" s="4">
        <v>149.41999999999999</v>
      </c>
      <c r="C285" s="4">
        <v>149.69999999999999</v>
      </c>
      <c r="D285" s="4">
        <v>146.63</v>
      </c>
      <c r="E285" s="4">
        <v>147.34</v>
      </c>
      <c r="F285" s="4">
        <v>147.34</v>
      </c>
      <c r="G285" s="13">
        <f t="shared" si="4"/>
        <v>-1.3260112510045472E-2</v>
      </c>
    </row>
    <row r="286" spans="1:7" ht="15" customHeight="1" x14ac:dyDescent="0.35">
      <c r="A286" s="3">
        <v>45195</v>
      </c>
      <c r="B286" s="4">
        <v>149.97999999999999</v>
      </c>
      <c r="C286" s="4">
        <v>150.36000000000001</v>
      </c>
      <c r="D286" s="4">
        <v>148.79</v>
      </c>
      <c r="E286" s="4">
        <v>149.32</v>
      </c>
      <c r="F286" s="4">
        <v>149.32</v>
      </c>
      <c r="G286" s="13">
        <f t="shared" si="4"/>
        <v>-8.8941988583565879E-3</v>
      </c>
    </row>
    <row r="287" spans="1:7" ht="15" customHeight="1" x14ac:dyDescent="0.35">
      <c r="A287" s="3">
        <v>45194</v>
      </c>
      <c r="B287" s="4">
        <v>151.18</v>
      </c>
      <c r="C287" s="4">
        <v>151.28</v>
      </c>
      <c r="D287" s="4">
        <v>150.02000000000001</v>
      </c>
      <c r="E287" s="4">
        <v>150.66</v>
      </c>
      <c r="F287" s="4">
        <v>150.66</v>
      </c>
      <c r="G287" s="13">
        <f t="shared" si="4"/>
        <v>-6.0694022958174944E-3</v>
      </c>
    </row>
    <row r="288" spans="1:7" ht="15" customHeight="1" x14ac:dyDescent="0.35">
      <c r="A288" s="3">
        <v>45191</v>
      </c>
      <c r="B288" s="4">
        <v>152.44</v>
      </c>
      <c r="C288" s="4">
        <v>153.34</v>
      </c>
      <c r="D288" s="4">
        <v>151.38</v>
      </c>
      <c r="E288" s="4">
        <v>151.58000000000001</v>
      </c>
      <c r="F288" s="4">
        <v>151.58000000000001</v>
      </c>
      <c r="G288" s="13">
        <f t="shared" si="4"/>
        <v>-3.6808202970946098E-3</v>
      </c>
    </row>
    <row r="289" spans="1:7" ht="15" customHeight="1" x14ac:dyDescent="0.35">
      <c r="A289" s="3">
        <v>45190</v>
      </c>
      <c r="B289" s="4">
        <v>153.44999999999999</v>
      </c>
      <c r="C289" s="4">
        <v>153.71</v>
      </c>
      <c r="D289" s="4">
        <v>152.07</v>
      </c>
      <c r="E289" s="4">
        <v>152.13999999999999</v>
      </c>
      <c r="F289" s="4">
        <v>152.13999999999999</v>
      </c>
      <c r="G289" s="13">
        <f t="shared" si="4"/>
        <v>-8.6661888316935717E-3</v>
      </c>
    </row>
    <row r="290" spans="1:7" ht="15" customHeight="1" x14ac:dyDescent="0.35">
      <c r="A290" s="3">
        <v>45189</v>
      </c>
      <c r="B290" s="4">
        <v>153.77000000000001</v>
      </c>
      <c r="C290" s="4">
        <v>154.78</v>
      </c>
      <c r="D290" s="4">
        <v>153.36000000000001</v>
      </c>
      <c r="E290" s="4">
        <v>153.47</v>
      </c>
      <c r="F290" s="4">
        <v>153.47</v>
      </c>
      <c r="G290" s="13">
        <f t="shared" si="4"/>
        <v>-8.463541666666371E-4</v>
      </c>
    </row>
    <row r="291" spans="1:7" ht="15" customHeight="1" x14ac:dyDescent="0.35">
      <c r="A291" s="3">
        <v>45188</v>
      </c>
      <c r="B291" s="4">
        <v>153.75</v>
      </c>
      <c r="C291" s="4">
        <v>154.06</v>
      </c>
      <c r="D291" s="4">
        <v>151.74</v>
      </c>
      <c r="E291" s="4">
        <v>153.6</v>
      </c>
      <c r="F291" s="4">
        <v>153.6</v>
      </c>
      <c r="G291" s="13">
        <f t="shared" si="4"/>
        <v>-2.9211295034080949E-3</v>
      </c>
    </row>
    <row r="292" spans="1:7" ht="15" customHeight="1" x14ac:dyDescent="0.35">
      <c r="A292" s="3">
        <v>45187</v>
      </c>
      <c r="B292" s="4">
        <v>154.44999999999999</v>
      </c>
      <c r="C292" s="4">
        <v>154.47999999999999</v>
      </c>
      <c r="D292" s="4">
        <v>153.51</v>
      </c>
      <c r="E292" s="4">
        <v>154.05000000000001</v>
      </c>
      <c r="F292" s="4">
        <v>154.05000000000001</v>
      </c>
      <c r="G292" s="13">
        <f t="shared" si="4"/>
        <v>3.7792402423927314E-3</v>
      </c>
    </row>
    <row r="293" spans="1:7" ht="15" customHeight="1" x14ac:dyDescent="0.35">
      <c r="A293" s="3">
        <v>45184</v>
      </c>
      <c r="B293" s="4">
        <v>154.03</v>
      </c>
      <c r="C293" s="4">
        <v>155.32</v>
      </c>
      <c r="D293" s="4">
        <v>153.22999999999999</v>
      </c>
      <c r="E293" s="4">
        <v>153.47</v>
      </c>
      <c r="F293" s="4">
        <v>153.47</v>
      </c>
      <c r="G293" s="13">
        <f t="shared" si="4"/>
        <v>-8.3995606383666811E-3</v>
      </c>
    </row>
    <row r="294" spans="1:7" ht="15" customHeight="1" x14ac:dyDescent="0.35">
      <c r="A294" s="3">
        <v>45183</v>
      </c>
      <c r="B294" s="4">
        <v>153.85</v>
      </c>
      <c r="C294" s="4">
        <v>154.91999999999999</v>
      </c>
      <c r="D294" s="4">
        <v>153.37</v>
      </c>
      <c r="E294" s="4">
        <v>154.77000000000001</v>
      </c>
      <c r="F294" s="4">
        <v>154.77000000000001</v>
      </c>
      <c r="G294" s="13">
        <f t="shared" si="4"/>
        <v>1.097393689986287E-2</v>
      </c>
    </row>
    <row r="295" spans="1:7" ht="15" customHeight="1" x14ac:dyDescent="0.35">
      <c r="A295" s="3">
        <v>45182</v>
      </c>
      <c r="B295" s="4">
        <v>151.97999999999999</v>
      </c>
      <c r="C295" s="4">
        <v>153.59</v>
      </c>
      <c r="D295" s="4">
        <v>151.66</v>
      </c>
      <c r="E295" s="4">
        <v>153.09</v>
      </c>
      <c r="F295" s="4">
        <v>153.09</v>
      </c>
      <c r="G295" s="13">
        <f t="shared" si="4"/>
        <v>6.972308097086116E-3</v>
      </c>
    </row>
    <row r="296" spans="1:7" ht="15" customHeight="1" x14ac:dyDescent="0.35">
      <c r="A296" s="3">
        <v>45181</v>
      </c>
      <c r="B296" s="4">
        <v>154.99</v>
      </c>
      <c r="C296" s="4">
        <v>155.15</v>
      </c>
      <c r="D296" s="4">
        <v>151.57</v>
      </c>
      <c r="E296" s="4">
        <v>152.03</v>
      </c>
      <c r="F296" s="4">
        <v>152.03</v>
      </c>
      <c r="G296" s="13">
        <f t="shared" si="4"/>
        <v>-1.7576736672051688E-2</v>
      </c>
    </row>
    <row r="297" spans="1:7" ht="15" customHeight="1" x14ac:dyDescent="0.35">
      <c r="A297" s="3">
        <v>45180</v>
      </c>
      <c r="B297" s="4">
        <v>153.33000000000001</v>
      </c>
      <c r="C297" s="4">
        <v>155.1</v>
      </c>
      <c r="D297" s="4">
        <v>153.08000000000001</v>
      </c>
      <c r="E297" s="4">
        <v>154.75</v>
      </c>
      <c r="F297" s="4">
        <v>154.75</v>
      </c>
      <c r="G297" s="13">
        <f t="shared" si="4"/>
        <v>1.190086967893803E-2</v>
      </c>
    </row>
    <row r="298" spans="1:7" ht="15" customHeight="1" x14ac:dyDescent="0.35">
      <c r="A298" s="3">
        <v>45177</v>
      </c>
      <c r="B298" s="4">
        <v>153.41999999999999</v>
      </c>
      <c r="C298" s="4">
        <v>153.46</v>
      </c>
      <c r="D298" s="4">
        <v>152.35</v>
      </c>
      <c r="E298" s="4">
        <v>152.93</v>
      </c>
      <c r="F298" s="4">
        <v>152.93</v>
      </c>
      <c r="G298" s="13">
        <f t="shared" si="4"/>
        <v>-4.2971547626798395E-3</v>
      </c>
    </row>
    <row r="299" spans="1:7" ht="15" customHeight="1" x14ac:dyDescent="0.35">
      <c r="A299" s="3">
        <v>45176</v>
      </c>
      <c r="B299" s="4">
        <v>152.49</v>
      </c>
      <c r="C299" s="4">
        <v>154.19</v>
      </c>
      <c r="D299" s="4">
        <v>152.37</v>
      </c>
      <c r="E299" s="4">
        <v>153.59</v>
      </c>
      <c r="F299" s="4">
        <v>153.59</v>
      </c>
      <c r="G299" s="13">
        <f t="shared" si="4"/>
        <v>9.5306954121205292E-3</v>
      </c>
    </row>
    <row r="300" spans="1:7" ht="15" customHeight="1" x14ac:dyDescent="0.35">
      <c r="A300" s="3">
        <v>45175</v>
      </c>
      <c r="B300" s="4">
        <v>152.29</v>
      </c>
      <c r="C300" s="4">
        <v>152.44999999999999</v>
      </c>
      <c r="D300" s="4">
        <v>151.54</v>
      </c>
      <c r="E300" s="4">
        <v>152.13999999999999</v>
      </c>
      <c r="F300" s="4">
        <v>152.13999999999999</v>
      </c>
      <c r="G300" s="13">
        <f t="shared" si="4"/>
        <v>-1.9679874048806833E-3</v>
      </c>
    </row>
    <row r="301" spans="1:7" ht="15" customHeight="1" x14ac:dyDescent="0.35">
      <c r="A301" s="3">
        <v>45174</v>
      </c>
      <c r="B301" s="4">
        <v>153.80000000000001</v>
      </c>
      <c r="C301" s="4">
        <v>154.85</v>
      </c>
      <c r="D301" s="4">
        <v>152.4</v>
      </c>
      <c r="E301" s="4">
        <v>152.44</v>
      </c>
      <c r="F301" s="4">
        <v>152.44</v>
      </c>
      <c r="G301" s="13">
        <f t="shared" si="4"/>
        <v>-1.3397191120315793E-2</v>
      </c>
    </row>
    <row r="302" spans="1:7" ht="15" customHeight="1" x14ac:dyDescent="0.35">
      <c r="A302" s="3">
        <v>45170</v>
      </c>
      <c r="B302" s="4">
        <v>154.9</v>
      </c>
      <c r="C302" s="4">
        <v>155.28</v>
      </c>
      <c r="D302" s="4">
        <v>153.56</v>
      </c>
      <c r="E302" s="4">
        <v>154.51</v>
      </c>
      <c r="F302" s="4">
        <v>154.51</v>
      </c>
      <c r="G302" s="13">
        <f t="shared" si="4"/>
        <v>1.1014642995982084E-3</v>
      </c>
    </row>
    <row r="303" spans="1:7" ht="15" customHeight="1" x14ac:dyDescent="0.35">
      <c r="A303" s="3">
        <v>45169</v>
      </c>
      <c r="B303" s="4">
        <v>154.12</v>
      </c>
      <c r="C303" s="4">
        <v>155.16</v>
      </c>
      <c r="D303" s="4">
        <v>153.83000000000001</v>
      </c>
      <c r="E303" s="4">
        <v>154.34</v>
      </c>
      <c r="F303" s="4">
        <v>154.34</v>
      </c>
      <c r="G303" s="13">
        <f t="shared" si="4"/>
        <v>1.9475460919242495E-3</v>
      </c>
    </row>
    <row r="304" spans="1:7" ht="15" customHeight="1" x14ac:dyDescent="0.35">
      <c r="A304" s="3">
        <v>45168</v>
      </c>
      <c r="B304" s="4">
        <v>154.1</v>
      </c>
      <c r="C304" s="4">
        <v>154.87</v>
      </c>
      <c r="D304" s="4">
        <v>153.71</v>
      </c>
      <c r="E304" s="4">
        <v>154.04</v>
      </c>
      <c r="F304" s="4">
        <v>154.04</v>
      </c>
      <c r="G304" s="13">
        <f t="shared" si="4"/>
        <v>1.1048287515434295E-3</v>
      </c>
    </row>
    <row r="305" spans="1:7" ht="15" customHeight="1" x14ac:dyDescent="0.35">
      <c r="A305" s="3">
        <v>45167</v>
      </c>
      <c r="B305" s="4">
        <v>153.94999999999999</v>
      </c>
      <c r="C305" s="4">
        <v>154.04</v>
      </c>
      <c r="D305" s="4">
        <v>152.03</v>
      </c>
      <c r="E305" s="4">
        <v>153.87</v>
      </c>
      <c r="F305" s="4">
        <v>153.87</v>
      </c>
      <c r="G305" s="13">
        <f t="shared" si="4"/>
        <v>5.8525165821305379E-4</v>
      </c>
    </row>
    <row r="306" spans="1:7" ht="15" customHeight="1" x14ac:dyDescent="0.35">
      <c r="A306" s="3">
        <v>45166</v>
      </c>
      <c r="B306" s="4">
        <v>153.71</v>
      </c>
      <c r="C306" s="4">
        <v>154.37</v>
      </c>
      <c r="D306" s="4">
        <v>153.05000000000001</v>
      </c>
      <c r="E306" s="4">
        <v>153.78</v>
      </c>
      <c r="F306" s="4">
        <v>153.78</v>
      </c>
      <c r="G306" s="13">
        <f t="shared" si="4"/>
        <v>1.5631105900743071E-3</v>
      </c>
    </row>
    <row r="307" spans="1:7" ht="15" customHeight="1" x14ac:dyDescent="0.35">
      <c r="A307" s="3">
        <v>45163</v>
      </c>
      <c r="B307" s="4">
        <v>153.4</v>
      </c>
      <c r="C307" s="4">
        <v>154.08000000000001</v>
      </c>
      <c r="D307" s="4">
        <v>152.46</v>
      </c>
      <c r="E307" s="4">
        <v>153.54</v>
      </c>
      <c r="F307" s="4">
        <v>153.54</v>
      </c>
      <c r="G307" s="13">
        <f t="shared" si="4"/>
        <v>6.555657532450505E-3</v>
      </c>
    </row>
    <row r="308" spans="1:7" ht="15" customHeight="1" x14ac:dyDescent="0.35">
      <c r="A308" s="3">
        <v>45162</v>
      </c>
      <c r="B308" s="4">
        <v>152.55000000000001</v>
      </c>
      <c r="C308" s="4">
        <v>154.68</v>
      </c>
      <c r="D308" s="4">
        <v>152.47999999999999</v>
      </c>
      <c r="E308" s="4">
        <v>152.54</v>
      </c>
      <c r="F308" s="4">
        <v>152.54</v>
      </c>
      <c r="G308" s="13">
        <f t="shared" si="4"/>
        <v>-4.6329526916803129E-3</v>
      </c>
    </row>
    <row r="309" spans="1:7" ht="15" customHeight="1" x14ac:dyDescent="0.35">
      <c r="A309" s="3">
        <v>45161</v>
      </c>
      <c r="B309" s="4">
        <v>152.47</v>
      </c>
      <c r="C309" s="4">
        <v>153.47999999999999</v>
      </c>
      <c r="D309" s="4">
        <v>152.47</v>
      </c>
      <c r="E309" s="4">
        <v>153.25</v>
      </c>
      <c r="F309" s="4">
        <v>153.25</v>
      </c>
      <c r="G309" s="13">
        <f t="shared" si="4"/>
        <v>9.352565369162796E-3</v>
      </c>
    </row>
    <row r="310" spans="1:7" ht="15" customHeight="1" x14ac:dyDescent="0.35">
      <c r="A310" s="3">
        <v>45160</v>
      </c>
      <c r="B310" s="4">
        <v>151.41999999999999</v>
      </c>
      <c r="C310" s="4">
        <v>152.15</v>
      </c>
      <c r="D310" s="4">
        <v>150.93</v>
      </c>
      <c r="E310" s="4">
        <v>151.83000000000001</v>
      </c>
      <c r="F310" s="4">
        <v>151.83000000000001</v>
      </c>
      <c r="G310" s="13">
        <f t="shared" si="4"/>
        <v>3.9533504645188289E-4</v>
      </c>
    </row>
    <row r="311" spans="1:7" ht="15" customHeight="1" x14ac:dyDescent="0.35">
      <c r="A311" s="3">
        <v>45159</v>
      </c>
      <c r="B311" s="4">
        <v>152.09</v>
      </c>
      <c r="C311" s="4">
        <v>152.78</v>
      </c>
      <c r="D311" s="4">
        <v>151.26</v>
      </c>
      <c r="E311" s="4">
        <v>151.77000000000001</v>
      </c>
      <c r="F311" s="4">
        <v>151.77000000000001</v>
      </c>
      <c r="G311" s="13">
        <f t="shared" si="4"/>
        <v>-5.0478562999867697E-3</v>
      </c>
    </row>
    <row r="312" spans="1:7" ht="15" customHeight="1" x14ac:dyDescent="0.35">
      <c r="A312" s="3">
        <v>45156</v>
      </c>
      <c r="B312" s="4">
        <v>151.62</v>
      </c>
      <c r="C312" s="4">
        <v>152.88999999999999</v>
      </c>
      <c r="D312" s="4">
        <v>151.16999999999999</v>
      </c>
      <c r="E312" s="4">
        <v>152.54</v>
      </c>
      <c r="F312" s="4">
        <v>152.54</v>
      </c>
      <c r="G312" s="13">
        <f t="shared" si="4"/>
        <v>2.8269015843795831E-3</v>
      </c>
    </row>
    <row r="313" spans="1:7" ht="15" customHeight="1" x14ac:dyDescent="0.35">
      <c r="A313" s="3">
        <v>45155</v>
      </c>
      <c r="B313" s="4">
        <v>153.21</v>
      </c>
      <c r="C313" s="4">
        <v>153.56</v>
      </c>
      <c r="D313" s="4">
        <v>151.79</v>
      </c>
      <c r="E313" s="4">
        <v>152.11000000000001</v>
      </c>
      <c r="F313" s="4">
        <v>152.11000000000001</v>
      </c>
      <c r="G313" s="13">
        <f t="shared" si="4"/>
        <v>-7.1796880099209859E-3</v>
      </c>
    </row>
    <row r="314" spans="1:7" ht="15" customHeight="1" x14ac:dyDescent="0.35">
      <c r="A314" s="3">
        <v>45154</v>
      </c>
      <c r="B314" s="4">
        <v>154.76</v>
      </c>
      <c r="C314" s="4">
        <v>155.72999999999999</v>
      </c>
      <c r="D314" s="4">
        <v>152.87</v>
      </c>
      <c r="E314" s="4">
        <v>153.21</v>
      </c>
      <c r="F314" s="4">
        <v>153.21</v>
      </c>
      <c r="G314" s="13">
        <f t="shared" si="4"/>
        <v>-1.0207377737579845E-2</v>
      </c>
    </row>
    <row r="315" spans="1:7" ht="15" customHeight="1" x14ac:dyDescent="0.35">
      <c r="A315" s="3">
        <v>45153</v>
      </c>
      <c r="B315" s="4">
        <v>155.79</v>
      </c>
      <c r="C315" s="4">
        <v>155.97</v>
      </c>
      <c r="D315" s="4">
        <v>154.46</v>
      </c>
      <c r="E315" s="4">
        <v>154.79</v>
      </c>
      <c r="F315" s="4">
        <v>154.79</v>
      </c>
      <c r="G315" s="13">
        <f t="shared" si="4"/>
        <v>-6.4188972334552931E-3</v>
      </c>
    </row>
    <row r="316" spans="1:7" ht="15" customHeight="1" x14ac:dyDescent="0.35">
      <c r="A316" s="3">
        <v>45152</v>
      </c>
      <c r="B316" s="4">
        <v>157.13</v>
      </c>
      <c r="C316" s="4">
        <v>157.53</v>
      </c>
      <c r="D316" s="4">
        <v>155.5</v>
      </c>
      <c r="E316" s="4">
        <v>155.79</v>
      </c>
      <c r="F316" s="4">
        <v>155.79</v>
      </c>
      <c r="G316" s="13">
        <f t="shared" si="4"/>
        <v>-7.8333970194880784E-3</v>
      </c>
    </row>
    <row r="317" spans="1:7" ht="15" customHeight="1" x14ac:dyDescent="0.35">
      <c r="A317" s="3">
        <v>45149</v>
      </c>
      <c r="B317" s="4">
        <v>156.43</v>
      </c>
      <c r="C317" s="4">
        <v>157.46</v>
      </c>
      <c r="D317" s="4">
        <v>155.79</v>
      </c>
      <c r="E317" s="4">
        <v>157.02000000000001</v>
      </c>
      <c r="F317" s="4">
        <v>157.02000000000001</v>
      </c>
      <c r="G317" s="13">
        <f t="shared" si="4"/>
        <v>5.8292229837934566E-3</v>
      </c>
    </row>
    <row r="318" spans="1:7" ht="15" customHeight="1" x14ac:dyDescent="0.35">
      <c r="A318" s="3">
        <v>45148</v>
      </c>
      <c r="B318" s="4">
        <v>157.16999999999999</v>
      </c>
      <c r="C318" s="4">
        <v>158.38</v>
      </c>
      <c r="D318" s="4">
        <v>155.80000000000001</v>
      </c>
      <c r="E318" s="4">
        <v>156.11000000000001</v>
      </c>
      <c r="F318" s="4">
        <v>156.11000000000001</v>
      </c>
      <c r="G318" s="13">
        <f t="shared" si="4"/>
        <v>-4.9716361782138618E-3</v>
      </c>
    </row>
    <row r="319" spans="1:7" ht="15" customHeight="1" x14ac:dyDescent="0.35">
      <c r="A319" s="3">
        <v>45147</v>
      </c>
      <c r="B319" s="4">
        <v>157.31</v>
      </c>
      <c r="C319" s="4">
        <v>158.09</v>
      </c>
      <c r="D319" s="4">
        <v>156.77000000000001</v>
      </c>
      <c r="E319" s="4">
        <v>156.88999999999999</v>
      </c>
      <c r="F319" s="4">
        <v>156.88999999999999</v>
      </c>
      <c r="G319" s="13">
        <f t="shared" si="4"/>
        <v>-1.2731555159463813E-3</v>
      </c>
    </row>
    <row r="320" spans="1:7" ht="15" customHeight="1" x14ac:dyDescent="0.35">
      <c r="A320" s="3">
        <v>45146</v>
      </c>
      <c r="B320" s="4">
        <v>157.28</v>
      </c>
      <c r="C320" s="4">
        <v>157.63</v>
      </c>
      <c r="D320" s="4">
        <v>156.53</v>
      </c>
      <c r="E320" s="4">
        <v>157.09</v>
      </c>
      <c r="F320" s="4">
        <v>157.09</v>
      </c>
      <c r="G320" s="13">
        <f t="shared" si="4"/>
        <v>1.0833545755800148E-3</v>
      </c>
    </row>
    <row r="321" spans="1:7" ht="15" customHeight="1" x14ac:dyDescent="0.35">
      <c r="A321" s="3">
        <v>45145</v>
      </c>
      <c r="B321" s="4">
        <v>155.66999999999999</v>
      </c>
      <c r="C321" s="4">
        <v>157.15</v>
      </c>
      <c r="D321" s="4">
        <v>155.49</v>
      </c>
      <c r="E321" s="4">
        <v>156.91999999999999</v>
      </c>
      <c r="F321" s="4">
        <v>156.91999999999999</v>
      </c>
      <c r="G321" s="13">
        <f t="shared" si="4"/>
        <v>1.0561566202988062E-2</v>
      </c>
    </row>
    <row r="322" spans="1:7" ht="15" customHeight="1" x14ac:dyDescent="0.35">
      <c r="A322" s="3">
        <v>45142</v>
      </c>
      <c r="B322" s="4">
        <v>157.43</v>
      </c>
      <c r="C322" s="4">
        <v>157.72999999999999</v>
      </c>
      <c r="D322" s="4">
        <v>155.15</v>
      </c>
      <c r="E322" s="4">
        <v>155.28</v>
      </c>
      <c r="F322" s="4">
        <v>155.28</v>
      </c>
      <c r="G322" s="13">
        <f t="shared" ref="G322:G385" si="5">(F322-F323)/F323</f>
        <v>-1.0955414012738847E-2</v>
      </c>
    </row>
    <row r="323" spans="1:7" ht="15" customHeight="1" x14ac:dyDescent="0.35">
      <c r="A323" s="3">
        <v>45141</v>
      </c>
      <c r="B323" s="4">
        <v>156.76</v>
      </c>
      <c r="C323" s="4">
        <v>157.69999999999999</v>
      </c>
      <c r="D323" s="4">
        <v>156.21</v>
      </c>
      <c r="E323" s="4">
        <v>157</v>
      </c>
      <c r="F323" s="4">
        <v>157</v>
      </c>
      <c r="G323" s="13">
        <f t="shared" si="5"/>
        <v>2.6183025735998251E-3</v>
      </c>
    </row>
    <row r="324" spans="1:7" ht="15" customHeight="1" x14ac:dyDescent="0.35">
      <c r="A324" s="3">
        <v>45140</v>
      </c>
      <c r="B324" s="4">
        <v>155.97</v>
      </c>
      <c r="C324" s="4">
        <v>157.72999999999999</v>
      </c>
      <c r="D324" s="4">
        <v>155.97</v>
      </c>
      <c r="E324" s="4">
        <v>156.59</v>
      </c>
      <c r="F324" s="4">
        <v>156.59</v>
      </c>
      <c r="G324" s="13">
        <f t="shared" si="5"/>
        <v>2.1760000000000217E-3</v>
      </c>
    </row>
    <row r="325" spans="1:7" ht="15" customHeight="1" x14ac:dyDescent="0.35">
      <c r="A325" s="3">
        <v>45139</v>
      </c>
      <c r="B325" s="4">
        <v>155.88</v>
      </c>
      <c r="C325" s="4">
        <v>157.16999999999999</v>
      </c>
      <c r="D325" s="4">
        <v>155.87</v>
      </c>
      <c r="E325" s="4">
        <v>156.25</v>
      </c>
      <c r="F325" s="4">
        <v>156.25</v>
      </c>
      <c r="G325" s="13">
        <f t="shared" si="5"/>
        <v>-3.1989763275759033E-4</v>
      </c>
    </row>
    <row r="326" spans="1:7" ht="15" customHeight="1" x14ac:dyDescent="0.35">
      <c r="A326" s="3">
        <v>45138</v>
      </c>
      <c r="B326" s="4">
        <v>156.4</v>
      </c>
      <c r="C326" s="4">
        <v>157.68</v>
      </c>
      <c r="D326" s="4">
        <v>155.06</v>
      </c>
      <c r="E326" s="4">
        <v>156.30000000000001</v>
      </c>
      <c r="F326" s="4">
        <v>156.30000000000001</v>
      </c>
      <c r="G326" s="13">
        <f t="shared" si="5"/>
        <v>-7.0327984144226852E-4</v>
      </c>
    </row>
    <row r="327" spans="1:7" ht="15" customHeight="1" x14ac:dyDescent="0.35">
      <c r="A327" s="3">
        <v>45135</v>
      </c>
      <c r="B327" s="4">
        <v>154.66</v>
      </c>
      <c r="C327" s="4">
        <v>157.47999999999999</v>
      </c>
      <c r="D327" s="4">
        <v>154.6</v>
      </c>
      <c r="E327" s="4">
        <v>156.41</v>
      </c>
      <c r="F327" s="4">
        <v>156.41</v>
      </c>
      <c r="G327" s="13">
        <f t="shared" si="5"/>
        <v>2.8269015843797138E-2</v>
      </c>
    </row>
    <row r="328" spans="1:7" ht="15" customHeight="1" x14ac:dyDescent="0.35">
      <c r="A328" s="3">
        <v>45134</v>
      </c>
      <c r="B328" s="4">
        <v>154.16</v>
      </c>
      <c r="C328" s="4">
        <v>154.6</v>
      </c>
      <c r="D328" s="4">
        <v>151.91999999999999</v>
      </c>
      <c r="E328" s="4">
        <v>152.11000000000001</v>
      </c>
      <c r="F328" s="4">
        <v>152.11000000000001</v>
      </c>
      <c r="G328" s="13">
        <f t="shared" si="5"/>
        <v>-1.1887748473431103E-2</v>
      </c>
    </row>
    <row r="329" spans="1:7" ht="15" customHeight="1" x14ac:dyDescent="0.35">
      <c r="A329" s="3">
        <v>45133</v>
      </c>
      <c r="B329" s="4">
        <v>153.12</v>
      </c>
      <c r="C329" s="4">
        <v>154.84</v>
      </c>
      <c r="D329" s="4">
        <v>152.88999999999999</v>
      </c>
      <c r="E329" s="4">
        <v>153.94</v>
      </c>
      <c r="F329" s="4">
        <v>153.94</v>
      </c>
      <c r="G329" s="13">
        <f t="shared" si="5"/>
        <v>1.0404473923787006E-3</v>
      </c>
    </row>
    <row r="330" spans="1:7" ht="15" customHeight="1" x14ac:dyDescent="0.35">
      <c r="A330" s="3">
        <v>45132</v>
      </c>
      <c r="B330" s="4">
        <v>153.47999999999999</v>
      </c>
      <c r="C330" s="4">
        <v>153.86000000000001</v>
      </c>
      <c r="D330" s="4">
        <v>152.44999999999999</v>
      </c>
      <c r="E330" s="4">
        <v>153.78</v>
      </c>
      <c r="F330" s="4">
        <v>153.78</v>
      </c>
      <c r="G330" s="13">
        <f t="shared" si="5"/>
        <v>2.3464998044584388E-3</v>
      </c>
    </row>
    <row r="331" spans="1:7" ht="15" customHeight="1" x14ac:dyDescent="0.35">
      <c r="A331" s="3">
        <v>45131</v>
      </c>
      <c r="B331" s="4">
        <v>152.84</v>
      </c>
      <c r="C331" s="4">
        <v>153.94999999999999</v>
      </c>
      <c r="D331" s="4">
        <v>152.30000000000001</v>
      </c>
      <c r="E331" s="4">
        <v>153.41999999999999</v>
      </c>
      <c r="F331" s="4">
        <v>153.41999999999999</v>
      </c>
      <c r="G331" s="13">
        <f t="shared" si="5"/>
        <v>3.2040802981755092E-3</v>
      </c>
    </row>
    <row r="332" spans="1:7" ht="15" customHeight="1" x14ac:dyDescent="0.35">
      <c r="A332" s="3">
        <v>45128</v>
      </c>
      <c r="B332" s="4">
        <v>151.15</v>
      </c>
      <c r="C332" s="4">
        <v>153.66999999999999</v>
      </c>
      <c r="D332" s="4">
        <v>150.69999999999999</v>
      </c>
      <c r="E332" s="4">
        <v>152.93</v>
      </c>
      <c r="F332" s="4">
        <v>152.93</v>
      </c>
      <c r="G332" s="13">
        <f t="shared" si="5"/>
        <v>1.5741232731137117E-2</v>
      </c>
    </row>
    <row r="333" spans="1:7" ht="15" customHeight="1" x14ac:dyDescent="0.35">
      <c r="A333" s="3">
        <v>45127</v>
      </c>
      <c r="B333" s="4">
        <v>149.55000000000001</v>
      </c>
      <c r="C333" s="4">
        <v>150.75</v>
      </c>
      <c r="D333" s="4">
        <v>148.13999999999999</v>
      </c>
      <c r="E333" s="4">
        <v>150.56</v>
      </c>
      <c r="F333" s="4">
        <v>150.56</v>
      </c>
      <c r="G333" s="13">
        <f t="shared" si="5"/>
        <v>1.7965267150177008E-3</v>
      </c>
    </row>
    <row r="334" spans="1:7" ht="15" customHeight="1" x14ac:dyDescent="0.35">
      <c r="A334" s="3">
        <v>45126</v>
      </c>
      <c r="B334" s="4">
        <v>149.55000000000001</v>
      </c>
      <c r="C334" s="4">
        <v>150.82</v>
      </c>
      <c r="D334" s="4">
        <v>148.86000000000001</v>
      </c>
      <c r="E334" s="4">
        <v>150.29</v>
      </c>
      <c r="F334" s="4">
        <v>150.29</v>
      </c>
      <c r="G334" s="13">
        <f t="shared" si="5"/>
        <v>6.8332551751857824E-3</v>
      </c>
    </row>
    <row r="335" spans="1:7" ht="15" customHeight="1" x14ac:dyDescent="0.35">
      <c r="A335" s="3">
        <v>45125</v>
      </c>
      <c r="B335" s="4">
        <v>148.63999999999999</v>
      </c>
      <c r="C335" s="4">
        <v>150.47999999999999</v>
      </c>
      <c r="D335" s="4">
        <v>148.38</v>
      </c>
      <c r="E335" s="4">
        <v>149.27000000000001</v>
      </c>
      <c r="F335" s="4">
        <v>149.27000000000001</v>
      </c>
      <c r="G335" s="13">
        <f t="shared" si="5"/>
        <v>1.8793207597825432E-3</v>
      </c>
    </row>
    <row r="336" spans="1:7" ht="15" customHeight="1" x14ac:dyDescent="0.35">
      <c r="A336" s="3">
        <v>45124</v>
      </c>
      <c r="B336" s="4">
        <v>149.65</v>
      </c>
      <c r="C336" s="4">
        <v>150.16</v>
      </c>
      <c r="D336" s="4">
        <v>148.97</v>
      </c>
      <c r="E336" s="4">
        <v>148.99</v>
      </c>
      <c r="F336" s="4">
        <v>148.99</v>
      </c>
      <c r="G336" s="13">
        <f t="shared" si="5"/>
        <v>-7.0643118960346694E-3</v>
      </c>
    </row>
    <row r="337" spans="1:7" ht="15" customHeight="1" x14ac:dyDescent="0.35">
      <c r="A337" s="3">
        <v>45121</v>
      </c>
      <c r="B337" s="4">
        <v>149.27000000000001</v>
      </c>
      <c r="C337" s="4">
        <v>150.63</v>
      </c>
      <c r="D337" s="4">
        <v>148.72999999999999</v>
      </c>
      <c r="E337" s="4">
        <v>150.05000000000001</v>
      </c>
      <c r="F337" s="4">
        <v>150.05000000000001</v>
      </c>
      <c r="G337" s="13">
        <f t="shared" si="5"/>
        <v>7.3850285330649404E-3</v>
      </c>
    </row>
    <row r="338" spans="1:7" ht="15" customHeight="1" x14ac:dyDescent="0.35">
      <c r="A338" s="3">
        <v>45120</v>
      </c>
      <c r="B338" s="4">
        <v>149</v>
      </c>
      <c r="C338" s="4">
        <v>149.52000000000001</v>
      </c>
      <c r="D338" s="4">
        <v>148.19999999999999</v>
      </c>
      <c r="E338" s="4">
        <v>148.94999999999999</v>
      </c>
      <c r="F338" s="4">
        <v>148.94999999999999</v>
      </c>
      <c r="G338" s="13">
        <f t="shared" si="5"/>
        <v>6.718172657036904E-4</v>
      </c>
    </row>
    <row r="339" spans="1:7" ht="15" customHeight="1" x14ac:dyDescent="0.35">
      <c r="A339" s="3">
        <v>45119</v>
      </c>
      <c r="B339" s="4">
        <v>148.03</v>
      </c>
      <c r="C339" s="4">
        <v>149.4</v>
      </c>
      <c r="D339" s="4">
        <v>147.63999999999999</v>
      </c>
      <c r="E339" s="4">
        <v>148.85</v>
      </c>
      <c r="F339" s="4">
        <v>148.85</v>
      </c>
      <c r="G339" s="13">
        <f t="shared" si="5"/>
        <v>5.1998919502970137E-3</v>
      </c>
    </row>
    <row r="340" spans="1:7" ht="15" customHeight="1" x14ac:dyDescent="0.35">
      <c r="A340" s="3">
        <v>45118</v>
      </c>
      <c r="B340" s="4">
        <v>148.72999999999999</v>
      </c>
      <c r="C340" s="4">
        <v>149.05000000000001</v>
      </c>
      <c r="D340" s="4">
        <v>146.96</v>
      </c>
      <c r="E340" s="4">
        <v>148.08000000000001</v>
      </c>
      <c r="F340" s="4">
        <v>148.08000000000001</v>
      </c>
      <c r="G340" s="13">
        <f t="shared" si="5"/>
        <v>-5.2398226521563956E-3</v>
      </c>
    </row>
    <row r="341" spans="1:7" ht="15" customHeight="1" x14ac:dyDescent="0.35">
      <c r="A341" s="3">
        <v>45117</v>
      </c>
      <c r="B341" s="4">
        <v>148.94</v>
      </c>
      <c r="C341" s="4">
        <v>150.32</v>
      </c>
      <c r="D341" s="4">
        <v>148.74</v>
      </c>
      <c r="E341" s="4">
        <v>148.86000000000001</v>
      </c>
      <c r="F341" s="4">
        <v>148.86000000000001</v>
      </c>
      <c r="G341" s="13">
        <f t="shared" si="5"/>
        <v>4.0322580645162814E-4</v>
      </c>
    </row>
    <row r="342" spans="1:7" ht="15" customHeight="1" x14ac:dyDescent="0.35">
      <c r="A342" s="3">
        <v>45114</v>
      </c>
      <c r="B342" s="4">
        <v>151.71</v>
      </c>
      <c r="C342" s="4">
        <v>151.91999999999999</v>
      </c>
      <c r="D342" s="4">
        <v>148.75</v>
      </c>
      <c r="E342" s="4">
        <v>148.80000000000001</v>
      </c>
      <c r="F342" s="4">
        <v>148.80000000000001</v>
      </c>
      <c r="G342" s="13">
        <f t="shared" si="5"/>
        <v>-2.0988222909401919E-2</v>
      </c>
    </row>
    <row r="343" spans="1:7" ht="15" customHeight="1" x14ac:dyDescent="0.35">
      <c r="A343" s="3">
        <v>45113</v>
      </c>
      <c r="B343" s="4">
        <v>151.19999999999999</v>
      </c>
      <c r="C343" s="4">
        <v>152.19</v>
      </c>
      <c r="D343" s="4">
        <v>150.76</v>
      </c>
      <c r="E343" s="4">
        <v>151.99</v>
      </c>
      <c r="F343" s="4">
        <v>151.99</v>
      </c>
      <c r="G343" s="13">
        <f t="shared" si="5"/>
        <v>-1.6421439831844455E-3</v>
      </c>
    </row>
    <row r="344" spans="1:7" ht="15" customHeight="1" x14ac:dyDescent="0.35">
      <c r="A344" s="3">
        <v>45112</v>
      </c>
      <c r="B344" s="4">
        <v>151.63</v>
      </c>
      <c r="C344" s="4">
        <v>152.46</v>
      </c>
      <c r="D344" s="4">
        <v>151.44</v>
      </c>
      <c r="E344" s="4">
        <v>152.24</v>
      </c>
      <c r="F344" s="4">
        <v>152.24</v>
      </c>
      <c r="G344" s="13">
        <f t="shared" si="5"/>
        <v>-1.7049180327868257E-3</v>
      </c>
    </row>
    <row r="345" spans="1:7" ht="15" customHeight="1" x14ac:dyDescent="0.35">
      <c r="A345" s="3">
        <v>45110</v>
      </c>
      <c r="B345" s="4">
        <v>151.47999999999999</v>
      </c>
      <c r="C345" s="4">
        <v>152.53</v>
      </c>
      <c r="D345" s="4">
        <v>150.47</v>
      </c>
      <c r="E345" s="4">
        <v>152.5</v>
      </c>
      <c r="F345" s="4">
        <v>152.5</v>
      </c>
      <c r="G345" s="13">
        <f t="shared" si="5"/>
        <v>5.0085672861472971E-3</v>
      </c>
    </row>
    <row r="346" spans="1:7" ht="15" customHeight="1" x14ac:dyDescent="0.35">
      <c r="A346" s="3">
        <v>45107</v>
      </c>
      <c r="B346" s="4">
        <v>149.83000000000001</v>
      </c>
      <c r="C346" s="4">
        <v>152.07</v>
      </c>
      <c r="D346" s="4">
        <v>149.79</v>
      </c>
      <c r="E346" s="4">
        <v>151.74</v>
      </c>
      <c r="F346" s="4">
        <v>151.74</v>
      </c>
      <c r="G346" s="13">
        <f t="shared" si="5"/>
        <v>1.5798634355335479E-2</v>
      </c>
    </row>
    <row r="347" spans="1:7" ht="15" customHeight="1" x14ac:dyDescent="0.35">
      <c r="A347" s="3">
        <v>45106</v>
      </c>
      <c r="B347" s="4">
        <v>148.47999999999999</v>
      </c>
      <c r="C347" s="4">
        <v>149.69999999999999</v>
      </c>
      <c r="D347" s="4">
        <v>147.1</v>
      </c>
      <c r="E347" s="4">
        <v>149.38</v>
      </c>
      <c r="F347" s="4">
        <v>149.38</v>
      </c>
      <c r="G347" s="13">
        <f t="shared" si="5"/>
        <v>-4.0669377958531478E-3</v>
      </c>
    </row>
    <row r="348" spans="1:7" ht="15" customHeight="1" x14ac:dyDescent="0.35">
      <c r="A348" s="3">
        <v>45105</v>
      </c>
      <c r="B348" s="4">
        <v>149.33000000000001</v>
      </c>
      <c r="C348" s="4">
        <v>150.30000000000001</v>
      </c>
      <c r="D348" s="4">
        <v>147.96</v>
      </c>
      <c r="E348" s="4">
        <v>149.99</v>
      </c>
      <c r="F348" s="4">
        <v>149.99</v>
      </c>
      <c r="G348" s="13">
        <f t="shared" si="5"/>
        <v>-1.9997333688842245E-4</v>
      </c>
    </row>
    <row r="349" spans="1:7" ht="15" customHeight="1" x14ac:dyDescent="0.35">
      <c r="A349" s="3">
        <v>45104</v>
      </c>
      <c r="B349" s="4">
        <v>148.44</v>
      </c>
      <c r="C349" s="4">
        <v>150.16999999999999</v>
      </c>
      <c r="D349" s="4">
        <v>148.38999999999999</v>
      </c>
      <c r="E349" s="4">
        <v>150.02000000000001</v>
      </c>
      <c r="F349" s="4">
        <v>150.02000000000001</v>
      </c>
      <c r="G349" s="13">
        <f t="shared" si="5"/>
        <v>9.4879214050198266E-3</v>
      </c>
    </row>
    <row r="350" spans="1:7" ht="15" customHeight="1" x14ac:dyDescent="0.35">
      <c r="A350" s="3">
        <v>45103</v>
      </c>
      <c r="B350" s="4">
        <v>148.1</v>
      </c>
      <c r="C350" s="4">
        <v>148.97</v>
      </c>
      <c r="D350" s="4">
        <v>146.72</v>
      </c>
      <c r="E350" s="4">
        <v>148.61000000000001</v>
      </c>
      <c r="F350" s="4">
        <v>148.61000000000001</v>
      </c>
      <c r="G350" s="13">
        <f t="shared" si="5"/>
        <v>1.0103731644887895E-3</v>
      </c>
    </row>
    <row r="351" spans="1:7" ht="15" customHeight="1" x14ac:dyDescent="0.35">
      <c r="A351" s="3">
        <v>45100</v>
      </c>
      <c r="B351" s="4">
        <v>150.25</v>
      </c>
      <c r="C351" s="4">
        <v>150.53</v>
      </c>
      <c r="D351" s="4">
        <v>147.96</v>
      </c>
      <c r="E351" s="4">
        <v>148.46</v>
      </c>
      <c r="F351" s="4">
        <v>148.46</v>
      </c>
      <c r="G351" s="13">
        <f t="shared" si="5"/>
        <v>-9.9366455485160442E-3</v>
      </c>
    </row>
    <row r="352" spans="1:7" ht="15" customHeight="1" x14ac:dyDescent="0.35">
      <c r="A352" s="3">
        <v>45099</v>
      </c>
      <c r="B352" s="4">
        <v>150.35</v>
      </c>
      <c r="C352" s="4">
        <v>151.1</v>
      </c>
      <c r="D352" s="4">
        <v>149.47999999999999</v>
      </c>
      <c r="E352" s="4">
        <v>149.94999999999999</v>
      </c>
      <c r="F352" s="4">
        <v>149.94999999999999</v>
      </c>
      <c r="G352" s="13">
        <f t="shared" si="5"/>
        <v>3.4127408993575407E-3</v>
      </c>
    </row>
    <row r="353" spans="1:7" ht="15" customHeight="1" x14ac:dyDescent="0.35">
      <c r="A353" s="3">
        <v>45098</v>
      </c>
      <c r="B353" s="4">
        <v>148.26</v>
      </c>
      <c r="C353" s="4">
        <v>149.6</v>
      </c>
      <c r="D353" s="4">
        <v>147.87</v>
      </c>
      <c r="E353" s="4">
        <v>149.44</v>
      </c>
      <c r="F353" s="4">
        <v>149.44</v>
      </c>
      <c r="G353" s="13">
        <f t="shared" si="5"/>
        <v>8.6393088552915841E-3</v>
      </c>
    </row>
    <row r="354" spans="1:7" ht="15" customHeight="1" x14ac:dyDescent="0.35">
      <c r="A354" s="3">
        <v>45097</v>
      </c>
      <c r="B354" s="4">
        <v>149.75</v>
      </c>
      <c r="C354" s="4">
        <v>150.28</v>
      </c>
      <c r="D354" s="4">
        <v>148.11000000000001</v>
      </c>
      <c r="E354" s="4">
        <v>148.16</v>
      </c>
      <c r="F354" s="4">
        <v>148.16</v>
      </c>
      <c r="G354" s="13">
        <f t="shared" si="5"/>
        <v>-9.2283001203691019E-3</v>
      </c>
    </row>
    <row r="355" spans="1:7" ht="15" customHeight="1" x14ac:dyDescent="0.35">
      <c r="A355" s="3">
        <v>45093</v>
      </c>
      <c r="B355" s="4">
        <v>148.91999999999999</v>
      </c>
      <c r="C355" s="4">
        <v>150.09</v>
      </c>
      <c r="D355" s="4">
        <v>148.9</v>
      </c>
      <c r="E355" s="4">
        <v>149.54</v>
      </c>
      <c r="F355" s="4">
        <v>149.54</v>
      </c>
      <c r="G355" s="13">
        <f t="shared" si="5"/>
        <v>7.342539575614709E-3</v>
      </c>
    </row>
    <row r="356" spans="1:7" ht="15" customHeight="1" x14ac:dyDescent="0.35">
      <c r="A356" s="3">
        <v>45092</v>
      </c>
      <c r="B356" s="4">
        <v>147.16999999999999</v>
      </c>
      <c r="C356" s="4">
        <v>148.97</v>
      </c>
      <c r="D356" s="4">
        <v>146.54</v>
      </c>
      <c r="E356" s="4">
        <v>148.44999999999999</v>
      </c>
      <c r="F356" s="4">
        <v>148.44999999999999</v>
      </c>
      <c r="G356" s="13">
        <f t="shared" si="5"/>
        <v>1.3864226198606756E-2</v>
      </c>
    </row>
    <row r="357" spans="1:7" ht="15" customHeight="1" x14ac:dyDescent="0.35">
      <c r="A357" s="3">
        <v>45091</v>
      </c>
      <c r="B357" s="4">
        <v>145.31</v>
      </c>
      <c r="C357" s="4">
        <v>146.88999999999999</v>
      </c>
      <c r="D357" s="4">
        <v>144.83000000000001</v>
      </c>
      <c r="E357" s="4">
        <v>146.41999999999999</v>
      </c>
      <c r="F357" s="4">
        <v>146.41999999999999</v>
      </c>
      <c r="G357" s="13">
        <f t="shared" si="5"/>
        <v>9.3754308561973341E-3</v>
      </c>
    </row>
    <row r="358" spans="1:7" ht="15" customHeight="1" x14ac:dyDescent="0.35">
      <c r="A358" s="3">
        <v>45090</v>
      </c>
      <c r="B358" s="4">
        <v>144.51</v>
      </c>
      <c r="C358" s="4">
        <v>145.68</v>
      </c>
      <c r="D358" s="4">
        <v>144.28</v>
      </c>
      <c r="E358" s="4">
        <v>145.06</v>
      </c>
      <c r="F358" s="4">
        <v>145.06</v>
      </c>
      <c r="G358" s="13">
        <f t="shared" si="5"/>
        <v>-2.4069871398115284E-3</v>
      </c>
    </row>
    <row r="359" spans="1:7" ht="15" customHeight="1" x14ac:dyDescent="0.35">
      <c r="A359" s="3">
        <v>45089</v>
      </c>
      <c r="B359" s="4">
        <v>147</v>
      </c>
      <c r="C359" s="4">
        <v>147.01</v>
      </c>
      <c r="D359" s="4">
        <v>144.55000000000001</v>
      </c>
      <c r="E359" s="4">
        <v>145.41</v>
      </c>
      <c r="F359" s="4">
        <v>145.41</v>
      </c>
      <c r="G359" s="13">
        <f t="shared" si="5"/>
        <v>-7.8466157205240566E-3</v>
      </c>
    </row>
    <row r="360" spans="1:7" ht="15" customHeight="1" x14ac:dyDescent="0.35">
      <c r="A360" s="3">
        <v>45086</v>
      </c>
      <c r="B360" s="4">
        <v>145.68</v>
      </c>
      <c r="C360" s="4">
        <v>146.78</v>
      </c>
      <c r="D360" s="4">
        <v>144.72999999999999</v>
      </c>
      <c r="E360" s="4">
        <v>146.56</v>
      </c>
      <c r="F360" s="4">
        <v>146.56</v>
      </c>
      <c r="G360" s="13">
        <f t="shared" si="5"/>
        <v>8.1944823818631894E-4</v>
      </c>
    </row>
    <row r="361" spans="1:7" ht="15" customHeight="1" x14ac:dyDescent="0.35">
      <c r="A361" s="3">
        <v>45085</v>
      </c>
      <c r="B361" s="4">
        <v>145.34</v>
      </c>
      <c r="C361" s="4">
        <v>146.65</v>
      </c>
      <c r="D361" s="4">
        <v>144.91999999999999</v>
      </c>
      <c r="E361" s="4">
        <v>146.44</v>
      </c>
      <c r="F361" s="4">
        <v>146.44</v>
      </c>
      <c r="G361" s="13">
        <f t="shared" si="5"/>
        <v>1.1325966850828635E-2</v>
      </c>
    </row>
    <row r="362" spans="1:7" ht="15" customHeight="1" x14ac:dyDescent="0.35">
      <c r="A362" s="3">
        <v>45084</v>
      </c>
      <c r="B362" s="4">
        <v>144.01</v>
      </c>
      <c r="C362" s="4">
        <v>145.12</v>
      </c>
      <c r="D362" s="4">
        <v>143.47</v>
      </c>
      <c r="E362" s="4">
        <v>144.80000000000001</v>
      </c>
      <c r="F362" s="4">
        <v>144.80000000000001</v>
      </c>
      <c r="G362" s="13">
        <f t="shared" si="5"/>
        <v>2.145477195653694E-3</v>
      </c>
    </row>
    <row r="363" spans="1:7" ht="15" customHeight="1" x14ac:dyDescent="0.35">
      <c r="A363" s="3">
        <v>45083</v>
      </c>
      <c r="B363" s="4">
        <v>146.07</v>
      </c>
      <c r="C363" s="4">
        <v>146.31</v>
      </c>
      <c r="D363" s="4">
        <v>143.55000000000001</v>
      </c>
      <c r="E363" s="4">
        <v>144.49</v>
      </c>
      <c r="F363" s="4">
        <v>144.49</v>
      </c>
      <c r="G363" s="13">
        <f t="shared" si="5"/>
        <v>-9.9355899684801189E-3</v>
      </c>
    </row>
    <row r="364" spans="1:7" ht="15" customHeight="1" x14ac:dyDescent="0.35">
      <c r="A364" s="3">
        <v>45082</v>
      </c>
      <c r="B364" s="4">
        <v>146.05000000000001</v>
      </c>
      <c r="C364" s="4">
        <v>147.85</v>
      </c>
      <c r="D364" s="4">
        <v>145.72999999999999</v>
      </c>
      <c r="E364" s="4">
        <v>145.94</v>
      </c>
      <c r="F364" s="4">
        <v>145.94</v>
      </c>
      <c r="G364" s="13">
        <f t="shared" si="5"/>
        <v>-3.9585039585040439E-3</v>
      </c>
    </row>
    <row r="365" spans="1:7" ht="15" customHeight="1" x14ac:dyDescent="0.35">
      <c r="A365" s="3">
        <v>45079</v>
      </c>
      <c r="B365" s="4">
        <v>144.51</v>
      </c>
      <c r="C365" s="4">
        <v>146.68</v>
      </c>
      <c r="D365" s="4">
        <v>144.38999999999999</v>
      </c>
      <c r="E365" s="4">
        <v>146.52000000000001</v>
      </c>
      <c r="F365" s="4">
        <v>146.52000000000001</v>
      </c>
      <c r="G365" s="13">
        <f t="shared" si="5"/>
        <v>1.778271742150599E-2</v>
      </c>
    </row>
    <row r="366" spans="1:7" ht="15" customHeight="1" x14ac:dyDescent="0.35">
      <c r="A366" s="3">
        <v>45078</v>
      </c>
      <c r="B366" s="4">
        <v>143.25</v>
      </c>
      <c r="C366" s="4">
        <v>144.12</v>
      </c>
      <c r="D366" s="4">
        <v>142.44999999999999</v>
      </c>
      <c r="E366" s="4">
        <v>143.96</v>
      </c>
      <c r="F366" s="4">
        <v>143.96</v>
      </c>
      <c r="G366" s="13">
        <f t="shared" si="5"/>
        <v>1.0245614035087775E-2</v>
      </c>
    </row>
    <row r="367" spans="1:7" ht="15" customHeight="1" x14ac:dyDescent="0.35">
      <c r="A367" s="3">
        <v>45077</v>
      </c>
      <c r="B367" s="4">
        <v>143.16</v>
      </c>
      <c r="C367" s="4">
        <v>143.97999999999999</v>
      </c>
      <c r="D367" s="4">
        <v>141.9</v>
      </c>
      <c r="E367" s="4">
        <v>142.5</v>
      </c>
      <c r="F367" s="4">
        <v>142.5</v>
      </c>
      <c r="G367" s="13">
        <f t="shared" si="5"/>
        <v>-4.7492666573544264E-3</v>
      </c>
    </row>
    <row r="368" spans="1:7" ht="15" customHeight="1" x14ac:dyDescent="0.35">
      <c r="A368" s="3">
        <v>45076</v>
      </c>
      <c r="B368" s="4">
        <v>143.86000000000001</v>
      </c>
      <c r="C368" s="4">
        <v>144.04</v>
      </c>
      <c r="D368" s="4">
        <v>142.35</v>
      </c>
      <c r="E368" s="4">
        <v>143.18</v>
      </c>
      <c r="F368" s="4">
        <v>143.18</v>
      </c>
      <c r="G368" s="13">
        <f t="shared" si="5"/>
        <v>-1.5268225584594215E-2</v>
      </c>
    </row>
    <row r="369" spans="1:7" ht="15" customHeight="1" x14ac:dyDescent="0.35">
      <c r="A369" s="3">
        <v>45072</v>
      </c>
      <c r="B369" s="4">
        <v>145.33000000000001</v>
      </c>
      <c r="C369" s="4">
        <v>146.01</v>
      </c>
      <c r="D369" s="4">
        <v>144.72999999999999</v>
      </c>
      <c r="E369" s="4">
        <v>145.4</v>
      </c>
      <c r="F369" s="4">
        <v>145.4</v>
      </c>
      <c r="G369" s="13">
        <f t="shared" si="5"/>
        <v>6.8780521356484814E-5</v>
      </c>
    </row>
    <row r="370" spans="1:7" ht="15" customHeight="1" x14ac:dyDescent="0.35">
      <c r="A370" s="3">
        <v>45071</v>
      </c>
      <c r="B370" s="4">
        <v>145.49</v>
      </c>
      <c r="C370" s="4">
        <v>146.21</v>
      </c>
      <c r="D370" s="4">
        <v>144.35</v>
      </c>
      <c r="E370" s="4">
        <v>145.38999999999999</v>
      </c>
      <c r="F370" s="4">
        <v>145.38999999999999</v>
      </c>
      <c r="G370" s="13">
        <f t="shared" si="5"/>
        <v>-6.4238365338619976E-3</v>
      </c>
    </row>
    <row r="371" spans="1:7" ht="15" customHeight="1" x14ac:dyDescent="0.35">
      <c r="A371" s="3">
        <v>45070</v>
      </c>
      <c r="B371" s="4">
        <v>147.59</v>
      </c>
      <c r="C371" s="4">
        <v>148.19999999999999</v>
      </c>
      <c r="D371" s="4">
        <v>146.09</v>
      </c>
      <c r="E371" s="4">
        <v>146.33000000000001</v>
      </c>
      <c r="F371" s="4">
        <v>146.33000000000001</v>
      </c>
      <c r="G371" s="13">
        <f t="shared" si="5"/>
        <v>-8.2683835987800661E-3</v>
      </c>
    </row>
    <row r="372" spans="1:7" ht="15" customHeight="1" x14ac:dyDescent="0.35">
      <c r="A372" s="3">
        <v>45069</v>
      </c>
      <c r="B372" s="4">
        <v>148.79</v>
      </c>
      <c r="C372" s="4">
        <v>148.88</v>
      </c>
      <c r="D372" s="4">
        <v>147.07</v>
      </c>
      <c r="E372" s="4">
        <v>147.55000000000001</v>
      </c>
      <c r="F372" s="4">
        <v>147.55000000000001</v>
      </c>
      <c r="G372" s="13">
        <f t="shared" si="5"/>
        <v>-1.0793778492893438E-2</v>
      </c>
    </row>
    <row r="373" spans="1:7" ht="15" customHeight="1" x14ac:dyDescent="0.35">
      <c r="A373" s="3">
        <v>45068</v>
      </c>
      <c r="B373" s="4">
        <v>152.5</v>
      </c>
      <c r="C373" s="4">
        <v>152.6</v>
      </c>
      <c r="D373" s="4">
        <v>148.83000000000001</v>
      </c>
      <c r="E373" s="4">
        <v>149.16</v>
      </c>
      <c r="F373" s="4">
        <v>149.16</v>
      </c>
      <c r="G373" s="13">
        <f t="shared" si="5"/>
        <v>-2.6180061369719863E-2</v>
      </c>
    </row>
    <row r="374" spans="1:7" ht="15" customHeight="1" x14ac:dyDescent="0.35">
      <c r="A374" s="3">
        <v>45065</v>
      </c>
      <c r="B374" s="4">
        <v>152.47</v>
      </c>
      <c r="C374" s="4">
        <v>153.32</v>
      </c>
      <c r="D374" s="4">
        <v>151.84</v>
      </c>
      <c r="E374" s="4">
        <v>153.16999999999999</v>
      </c>
      <c r="F374" s="4">
        <v>153.16999999999999</v>
      </c>
      <c r="G374" s="13">
        <f t="shared" si="5"/>
        <v>4.1958958893331564E-3</v>
      </c>
    </row>
    <row r="375" spans="1:7" ht="15" customHeight="1" x14ac:dyDescent="0.35">
      <c r="A375" s="3">
        <v>45064</v>
      </c>
      <c r="B375" s="4">
        <v>153.31</v>
      </c>
      <c r="C375" s="4">
        <v>153.65</v>
      </c>
      <c r="D375" s="4">
        <v>151.6</v>
      </c>
      <c r="E375" s="4">
        <v>152.53</v>
      </c>
      <c r="F375" s="4">
        <v>152.53</v>
      </c>
      <c r="G375" s="13">
        <f t="shared" si="5"/>
        <v>-1.6443126128449906E-2</v>
      </c>
    </row>
    <row r="376" spans="1:7" ht="15" customHeight="1" x14ac:dyDescent="0.35">
      <c r="A376" s="3">
        <v>45063</v>
      </c>
      <c r="B376" s="4">
        <v>156.26</v>
      </c>
      <c r="C376" s="4">
        <v>156.56</v>
      </c>
      <c r="D376" s="4">
        <v>153.9</v>
      </c>
      <c r="E376" s="4">
        <v>155.08000000000001</v>
      </c>
      <c r="F376" s="4">
        <v>155.08000000000001</v>
      </c>
      <c r="G376" s="13">
        <f t="shared" si="5"/>
        <v>-4.2378322845768365E-3</v>
      </c>
    </row>
    <row r="377" spans="1:7" ht="15" customHeight="1" x14ac:dyDescent="0.35">
      <c r="A377" s="3">
        <v>45062</v>
      </c>
      <c r="B377" s="4">
        <v>155.87</v>
      </c>
      <c r="C377" s="4">
        <v>156.91999999999999</v>
      </c>
      <c r="D377" s="4">
        <v>154.93</v>
      </c>
      <c r="E377" s="4">
        <v>155.74</v>
      </c>
      <c r="F377" s="4">
        <v>155.74</v>
      </c>
      <c r="G377" s="13">
        <f t="shared" si="5"/>
        <v>-1.7306582911350672E-3</v>
      </c>
    </row>
    <row r="378" spans="1:7" ht="15" customHeight="1" x14ac:dyDescent="0.35">
      <c r="A378" s="3">
        <v>45061</v>
      </c>
      <c r="B378" s="4">
        <v>156.61000000000001</v>
      </c>
      <c r="C378" s="4">
        <v>156.75</v>
      </c>
      <c r="D378" s="4">
        <v>154.63999999999999</v>
      </c>
      <c r="E378" s="4">
        <v>156.01</v>
      </c>
      <c r="F378" s="4">
        <v>156.01</v>
      </c>
      <c r="G378" s="13">
        <f t="shared" si="5"/>
        <v>3.2059502436511248E-4</v>
      </c>
    </row>
    <row r="379" spans="1:7" ht="15" customHeight="1" x14ac:dyDescent="0.35">
      <c r="A379" s="3">
        <v>45058</v>
      </c>
      <c r="B379" s="4">
        <v>154.69999999999999</v>
      </c>
      <c r="C379" s="4">
        <v>156.05000000000001</v>
      </c>
      <c r="D379" s="4">
        <v>154.38999999999999</v>
      </c>
      <c r="E379" s="4">
        <v>155.96</v>
      </c>
      <c r="F379" s="4">
        <v>155.96</v>
      </c>
      <c r="G379" s="13">
        <f t="shared" si="5"/>
        <v>1.0169052399766966E-2</v>
      </c>
    </row>
    <row r="380" spans="1:7" ht="15" customHeight="1" x14ac:dyDescent="0.35">
      <c r="A380" s="3">
        <v>45057</v>
      </c>
      <c r="B380" s="4">
        <v>154.81</v>
      </c>
      <c r="C380" s="4">
        <v>154.88999999999999</v>
      </c>
      <c r="D380" s="4">
        <v>153.38999999999999</v>
      </c>
      <c r="E380" s="4">
        <v>154.38999999999999</v>
      </c>
      <c r="F380" s="4">
        <v>154.38999999999999</v>
      </c>
      <c r="G380" s="13">
        <f t="shared" si="5"/>
        <v>2.3372070375899841E-3</v>
      </c>
    </row>
    <row r="381" spans="1:7" ht="15" customHeight="1" x14ac:dyDescent="0.35">
      <c r="A381" s="3">
        <v>45056</v>
      </c>
      <c r="B381" s="4">
        <v>153.44999999999999</v>
      </c>
      <c r="C381" s="4">
        <v>154.32</v>
      </c>
      <c r="D381" s="4">
        <v>152.44</v>
      </c>
      <c r="E381" s="4">
        <v>154.03</v>
      </c>
      <c r="F381" s="4">
        <v>154.03</v>
      </c>
      <c r="G381" s="13">
        <f t="shared" si="5"/>
        <v>2.0818424305509933E-3</v>
      </c>
    </row>
    <row r="382" spans="1:7" ht="15" customHeight="1" x14ac:dyDescent="0.35">
      <c r="A382" s="3">
        <v>45055</v>
      </c>
      <c r="B382" s="4">
        <v>155.85</v>
      </c>
      <c r="C382" s="4">
        <v>155.97999999999999</v>
      </c>
      <c r="D382" s="4">
        <v>153.58000000000001</v>
      </c>
      <c r="E382" s="4">
        <v>153.71</v>
      </c>
      <c r="F382" s="4">
        <v>153.71</v>
      </c>
      <c r="G382" s="13">
        <f t="shared" si="5"/>
        <v>-1.0238248551191265E-2</v>
      </c>
    </row>
    <row r="383" spans="1:7" ht="15" customHeight="1" x14ac:dyDescent="0.35">
      <c r="A383" s="3">
        <v>45054</v>
      </c>
      <c r="B383" s="4">
        <v>155.35</v>
      </c>
      <c r="C383" s="4">
        <v>155.72999999999999</v>
      </c>
      <c r="D383" s="4">
        <v>154.87</v>
      </c>
      <c r="E383" s="4">
        <v>155.30000000000001</v>
      </c>
      <c r="F383" s="4">
        <v>155.30000000000001</v>
      </c>
      <c r="G383" s="13">
        <f t="shared" si="5"/>
        <v>-4.6785874511311269E-3</v>
      </c>
    </row>
    <row r="384" spans="1:7" ht="15" customHeight="1" x14ac:dyDescent="0.35">
      <c r="A384" s="3">
        <v>45051</v>
      </c>
      <c r="B384" s="4">
        <v>155.4</v>
      </c>
      <c r="C384" s="4">
        <v>156.31</v>
      </c>
      <c r="D384" s="4">
        <v>154.69</v>
      </c>
      <c r="E384" s="4">
        <v>156.03</v>
      </c>
      <c r="F384" s="4">
        <v>156.03</v>
      </c>
      <c r="G384" s="13">
        <f t="shared" si="5"/>
        <v>3.3438364092341988E-3</v>
      </c>
    </row>
    <row r="385" spans="1:7" ht="15" customHeight="1" x14ac:dyDescent="0.35">
      <c r="A385" s="3">
        <v>45050</v>
      </c>
      <c r="B385" s="4">
        <v>156.1</v>
      </c>
      <c r="C385" s="4">
        <v>156.6</v>
      </c>
      <c r="D385" s="4">
        <v>155.09</v>
      </c>
      <c r="E385" s="4">
        <v>155.51</v>
      </c>
      <c r="F385" s="4">
        <v>155.51</v>
      </c>
      <c r="G385" s="13">
        <f t="shared" si="5"/>
        <v>-4.60858989950713E-3</v>
      </c>
    </row>
    <row r="386" spans="1:7" ht="15" customHeight="1" x14ac:dyDescent="0.35">
      <c r="A386" s="3">
        <v>45049</v>
      </c>
      <c r="B386" s="4">
        <v>156.63999999999999</v>
      </c>
      <c r="C386" s="4">
        <v>157.57</v>
      </c>
      <c r="D386" s="4">
        <v>155.43</v>
      </c>
      <c r="E386" s="4">
        <v>156.22999999999999</v>
      </c>
      <c r="F386" s="4">
        <v>156.22999999999999</v>
      </c>
      <c r="G386" s="13">
        <f t="shared" ref="G386:G449" si="6">(F386-F387)/F387</f>
        <v>-1.2785271367385862E-3</v>
      </c>
    </row>
    <row r="387" spans="1:7" ht="15" customHeight="1" x14ac:dyDescent="0.35">
      <c r="A387" s="3">
        <v>45048</v>
      </c>
      <c r="B387" s="4">
        <v>156.59</v>
      </c>
      <c r="C387" s="4">
        <v>156.93</v>
      </c>
      <c r="D387" s="4">
        <v>155.66999999999999</v>
      </c>
      <c r="E387" s="4">
        <v>156.43</v>
      </c>
      <c r="F387" s="4">
        <v>156.43</v>
      </c>
      <c r="G387" s="13">
        <f t="shared" si="6"/>
        <v>-8.9416874241544594E-4</v>
      </c>
    </row>
    <row r="388" spans="1:7" ht="15" customHeight="1" x14ac:dyDescent="0.35">
      <c r="A388" s="3">
        <v>45047</v>
      </c>
      <c r="B388" s="4">
        <v>156.03</v>
      </c>
      <c r="C388" s="4">
        <v>157.4</v>
      </c>
      <c r="D388" s="4">
        <v>155.80000000000001</v>
      </c>
      <c r="E388" s="4">
        <v>156.57</v>
      </c>
      <c r="F388" s="4">
        <v>156.57</v>
      </c>
      <c r="G388" s="13">
        <f t="shared" si="6"/>
        <v>1.2149891290446203E-3</v>
      </c>
    </row>
    <row r="389" spans="1:7" ht="15" customHeight="1" x14ac:dyDescent="0.35">
      <c r="A389" s="3">
        <v>45044</v>
      </c>
      <c r="B389" s="4">
        <v>156.28</v>
      </c>
      <c r="C389" s="4">
        <v>157.37</v>
      </c>
      <c r="D389" s="4">
        <v>155.76</v>
      </c>
      <c r="E389" s="4">
        <v>156.38</v>
      </c>
      <c r="F389" s="4">
        <v>156.38</v>
      </c>
      <c r="G389" s="13">
        <f t="shared" si="6"/>
        <v>-5.7519013229375218E-4</v>
      </c>
    </row>
    <row r="390" spans="1:7" ht="15" customHeight="1" x14ac:dyDescent="0.35">
      <c r="A390" s="3">
        <v>45043</v>
      </c>
      <c r="B390" s="4">
        <v>155.30000000000001</v>
      </c>
      <c r="C390" s="4">
        <v>156.61000000000001</v>
      </c>
      <c r="D390" s="4">
        <v>155.01</v>
      </c>
      <c r="E390" s="4">
        <v>156.47</v>
      </c>
      <c r="F390" s="4">
        <v>156.47</v>
      </c>
      <c r="G390" s="13">
        <f t="shared" si="6"/>
        <v>1.2226678742398668E-2</v>
      </c>
    </row>
    <row r="391" spans="1:7" ht="15" customHeight="1" x14ac:dyDescent="0.35">
      <c r="A391" s="3">
        <v>45042</v>
      </c>
      <c r="B391" s="4">
        <v>155.30000000000001</v>
      </c>
      <c r="C391" s="4">
        <v>156</v>
      </c>
      <c r="D391" s="4">
        <v>154.34</v>
      </c>
      <c r="E391" s="4">
        <v>154.58000000000001</v>
      </c>
      <c r="F391" s="4">
        <v>154.58000000000001</v>
      </c>
      <c r="G391" s="13">
        <f t="shared" si="6"/>
        <v>-1.1573630027495199E-2</v>
      </c>
    </row>
    <row r="392" spans="1:7" ht="15" customHeight="1" x14ac:dyDescent="0.35">
      <c r="A392" s="3">
        <v>45041</v>
      </c>
      <c r="B392" s="4">
        <v>156.51</v>
      </c>
      <c r="C392" s="4">
        <v>157.94</v>
      </c>
      <c r="D392" s="4">
        <v>155.79</v>
      </c>
      <c r="E392" s="4">
        <v>156.38999999999999</v>
      </c>
      <c r="F392" s="4">
        <v>156.38999999999999</v>
      </c>
      <c r="G392" s="13">
        <f t="shared" si="6"/>
        <v>2.5583626479048317E-4</v>
      </c>
    </row>
    <row r="393" spans="1:7" ht="15" customHeight="1" x14ac:dyDescent="0.35">
      <c r="A393" s="3">
        <v>45040</v>
      </c>
      <c r="B393" s="4">
        <v>155.22</v>
      </c>
      <c r="C393" s="4">
        <v>157.25</v>
      </c>
      <c r="D393" s="4">
        <v>155.22</v>
      </c>
      <c r="E393" s="4">
        <v>156.35</v>
      </c>
      <c r="F393" s="4">
        <v>156.35</v>
      </c>
      <c r="G393" s="13">
        <f t="shared" si="6"/>
        <v>1.7940667649131875E-3</v>
      </c>
    </row>
    <row r="394" spans="1:7" ht="15" customHeight="1" x14ac:dyDescent="0.35">
      <c r="A394" s="3">
        <v>45037</v>
      </c>
      <c r="B394" s="4">
        <v>154.94</v>
      </c>
      <c r="C394" s="4">
        <v>158.11000000000001</v>
      </c>
      <c r="D394" s="4">
        <v>154.5</v>
      </c>
      <c r="E394" s="4">
        <v>156.07</v>
      </c>
      <c r="F394" s="4">
        <v>156.07</v>
      </c>
      <c r="G394" s="13">
        <f t="shared" si="6"/>
        <v>3.4603911170036451E-2</v>
      </c>
    </row>
    <row r="395" spans="1:7" ht="15" customHeight="1" x14ac:dyDescent="0.35">
      <c r="A395" s="3">
        <v>45036</v>
      </c>
      <c r="B395" s="4">
        <v>150.37</v>
      </c>
      <c r="C395" s="4">
        <v>151.36000000000001</v>
      </c>
      <c r="D395" s="4">
        <v>150.37</v>
      </c>
      <c r="E395" s="4">
        <v>150.85</v>
      </c>
      <c r="F395" s="4">
        <v>150.85</v>
      </c>
      <c r="G395" s="13">
        <f t="shared" si="6"/>
        <v>-2.5786828881249322E-3</v>
      </c>
    </row>
    <row r="396" spans="1:7" ht="15" customHeight="1" x14ac:dyDescent="0.35">
      <c r="A396" s="3">
        <v>45035</v>
      </c>
      <c r="B396" s="4">
        <v>151.16999999999999</v>
      </c>
      <c r="C396" s="4">
        <v>151.9</v>
      </c>
      <c r="D396" s="4">
        <v>150.71</v>
      </c>
      <c r="E396" s="4">
        <v>151.24</v>
      </c>
      <c r="F396" s="4">
        <v>151.24</v>
      </c>
      <c r="G396" s="13">
        <f t="shared" si="6"/>
        <v>1.9839957674757711E-4</v>
      </c>
    </row>
    <row r="397" spans="1:7" ht="15" customHeight="1" x14ac:dyDescent="0.35">
      <c r="A397" s="3">
        <v>45034</v>
      </c>
      <c r="B397" s="4">
        <v>150.97999999999999</v>
      </c>
      <c r="C397" s="4">
        <v>151.59</v>
      </c>
      <c r="D397" s="4">
        <v>150.1</v>
      </c>
      <c r="E397" s="4">
        <v>151.21</v>
      </c>
      <c r="F397" s="4">
        <v>151.21</v>
      </c>
      <c r="G397" s="13">
        <f t="shared" si="6"/>
        <v>1.0592519033432411E-3</v>
      </c>
    </row>
    <row r="398" spans="1:7" ht="15" customHeight="1" x14ac:dyDescent="0.35">
      <c r="A398" s="3">
        <v>45033</v>
      </c>
      <c r="B398" s="4">
        <v>151.16999999999999</v>
      </c>
      <c r="C398" s="4">
        <v>151.47</v>
      </c>
      <c r="D398" s="4">
        <v>150.34</v>
      </c>
      <c r="E398" s="4">
        <v>151.05000000000001</v>
      </c>
      <c r="F398" s="4">
        <v>151.05000000000001</v>
      </c>
      <c r="G398" s="13">
        <f t="shared" si="6"/>
        <v>3.3112582781464483E-4</v>
      </c>
    </row>
    <row r="399" spans="1:7" ht="15" customHeight="1" x14ac:dyDescent="0.35">
      <c r="A399" s="3">
        <v>45030</v>
      </c>
      <c r="B399" s="4">
        <v>151.35</v>
      </c>
      <c r="C399" s="4">
        <v>151.59</v>
      </c>
      <c r="D399" s="4">
        <v>150.51</v>
      </c>
      <c r="E399" s="4">
        <v>151</v>
      </c>
      <c r="F399" s="4">
        <v>151</v>
      </c>
      <c r="G399" s="13">
        <f t="shared" si="6"/>
        <v>-5.0734664294657056E-3</v>
      </c>
    </row>
    <row r="400" spans="1:7" ht="15" customHeight="1" x14ac:dyDescent="0.35">
      <c r="A400" s="3">
        <v>45029</v>
      </c>
      <c r="B400" s="4">
        <v>150.9</v>
      </c>
      <c r="C400" s="4">
        <v>151.87</v>
      </c>
      <c r="D400" s="4">
        <v>149.82</v>
      </c>
      <c r="E400" s="4">
        <v>151.77000000000001</v>
      </c>
      <c r="F400" s="4">
        <v>151.77000000000001</v>
      </c>
      <c r="G400" s="13">
        <f t="shared" si="6"/>
        <v>4.6336135566294899E-3</v>
      </c>
    </row>
    <row r="401" spans="1:7" ht="15" customHeight="1" x14ac:dyDescent="0.35">
      <c r="A401" s="3">
        <v>45028</v>
      </c>
      <c r="B401" s="4">
        <v>150.31</v>
      </c>
      <c r="C401" s="4">
        <v>152.41</v>
      </c>
      <c r="D401" s="4">
        <v>149.93</v>
      </c>
      <c r="E401" s="4">
        <v>151.07</v>
      </c>
      <c r="F401" s="4">
        <v>151.07</v>
      </c>
      <c r="G401" s="13">
        <f t="shared" si="6"/>
        <v>2.7213593521837024E-3</v>
      </c>
    </row>
    <row r="402" spans="1:7" ht="15" customHeight="1" x14ac:dyDescent="0.35">
      <c r="A402" s="3">
        <v>45027</v>
      </c>
      <c r="B402" s="4">
        <v>151.26</v>
      </c>
      <c r="C402" s="4">
        <v>151.44</v>
      </c>
      <c r="D402" s="4">
        <v>150.52000000000001</v>
      </c>
      <c r="E402" s="4">
        <v>150.66</v>
      </c>
      <c r="F402" s="4">
        <v>150.66</v>
      </c>
      <c r="G402" s="13">
        <f t="shared" si="6"/>
        <v>-1.9872813990461802E-3</v>
      </c>
    </row>
    <row r="403" spans="1:7" ht="15" customHeight="1" x14ac:dyDescent="0.35">
      <c r="A403" s="3">
        <v>45026</v>
      </c>
      <c r="B403" s="4">
        <v>151.65</v>
      </c>
      <c r="C403" s="4">
        <v>151.66999999999999</v>
      </c>
      <c r="D403" s="4">
        <v>149.51</v>
      </c>
      <c r="E403" s="4">
        <v>150.96</v>
      </c>
      <c r="F403" s="4">
        <v>150.96</v>
      </c>
      <c r="G403" s="13">
        <f t="shared" si="6"/>
        <v>-8.2774931020890216E-3</v>
      </c>
    </row>
    <row r="404" spans="1:7" ht="15" customHeight="1" x14ac:dyDescent="0.35">
      <c r="A404" s="3">
        <v>45022</v>
      </c>
      <c r="B404" s="4">
        <v>151.87</v>
      </c>
      <c r="C404" s="4">
        <v>152.96</v>
      </c>
      <c r="D404" s="4">
        <v>151.41999999999999</v>
      </c>
      <c r="E404" s="4">
        <v>152.22</v>
      </c>
      <c r="F404" s="4">
        <v>152.22</v>
      </c>
      <c r="G404" s="13">
        <f t="shared" si="6"/>
        <v>6.3466878222927939E-3</v>
      </c>
    </row>
    <row r="405" spans="1:7" ht="15" customHeight="1" x14ac:dyDescent="0.35">
      <c r="A405" s="3">
        <v>45021</v>
      </c>
      <c r="B405" s="4">
        <v>151.33000000000001</v>
      </c>
      <c r="C405" s="4">
        <v>152.35</v>
      </c>
      <c r="D405" s="4">
        <v>151.15</v>
      </c>
      <c r="E405" s="4">
        <v>151.26</v>
      </c>
      <c r="F405" s="4">
        <v>151.26</v>
      </c>
      <c r="G405" s="13">
        <f t="shared" si="6"/>
        <v>6.8561538973573935E-3</v>
      </c>
    </row>
    <row r="406" spans="1:7" ht="15" customHeight="1" x14ac:dyDescent="0.35">
      <c r="A406" s="3">
        <v>45020</v>
      </c>
      <c r="B406" s="4">
        <v>150.08000000000001</v>
      </c>
      <c r="C406" s="4">
        <v>151.71</v>
      </c>
      <c r="D406" s="4">
        <v>150.08000000000001</v>
      </c>
      <c r="E406" s="4">
        <v>150.22999999999999</v>
      </c>
      <c r="F406" s="4">
        <v>150.22999999999999</v>
      </c>
      <c r="G406" s="13">
        <f t="shared" si="6"/>
        <v>4.8157313892047285E-3</v>
      </c>
    </row>
    <row r="407" spans="1:7" ht="15" customHeight="1" x14ac:dyDescent="0.35">
      <c r="A407" s="3">
        <v>45019</v>
      </c>
      <c r="B407" s="4">
        <v>148.43</v>
      </c>
      <c r="C407" s="4">
        <v>150.07</v>
      </c>
      <c r="D407" s="4">
        <v>147.09</v>
      </c>
      <c r="E407" s="4">
        <v>149.51</v>
      </c>
      <c r="F407" s="4">
        <v>149.51</v>
      </c>
      <c r="G407" s="13">
        <f t="shared" si="6"/>
        <v>5.5148295110632401E-3</v>
      </c>
    </row>
    <row r="408" spans="1:7" ht="15" customHeight="1" x14ac:dyDescent="0.35">
      <c r="A408" s="3">
        <v>45016</v>
      </c>
      <c r="B408" s="4">
        <v>147.74</v>
      </c>
      <c r="C408" s="4">
        <v>148.69</v>
      </c>
      <c r="D408" s="4">
        <v>147.57</v>
      </c>
      <c r="E408" s="4">
        <v>148.69</v>
      </c>
      <c r="F408" s="4">
        <v>148.69</v>
      </c>
      <c r="G408" s="13">
        <f t="shared" si="6"/>
        <v>8.4096303831808009E-3</v>
      </c>
    </row>
    <row r="409" spans="1:7" ht="15" customHeight="1" x14ac:dyDescent="0.35">
      <c r="A409" s="3">
        <v>45015</v>
      </c>
      <c r="B409" s="4">
        <v>146.91999999999999</v>
      </c>
      <c r="C409" s="4">
        <v>147.54</v>
      </c>
      <c r="D409" s="4">
        <v>146.30000000000001</v>
      </c>
      <c r="E409" s="4">
        <v>147.44999999999999</v>
      </c>
      <c r="F409" s="4">
        <v>147.44999999999999</v>
      </c>
      <c r="G409" s="13">
        <f t="shared" si="6"/>
        <v>4.3593760643007035E-3</v>
      </c>
    </row>
    <row r="410" spans="1:7" ht="15" customHeight="1" x14ac:dyDescent="0.35">
      <c r="A410" s="3">
        <v>45014</v>
      </c>
      <c r="B410" s="4">
        <v>147.08000000000001</v>
      </c>
      <c r="C410" s="4">
        <v>147.29</v>
      </c>
      <c r="D410" s="4">
        <v>146.26</v>
      </c>
      <c r="E410" s="4">
        <v>146.81</v>
      </c>
      <c r="F410" s="4">
        <v>146.81</v>
      </c>
      <c r="G410" s="13">
        <f t="shared" si="6"/>
        <v>3.0746105493303401E-3</v>
      </c>
    </row>
    <row r="411" spans="1:7" ht="15" customHeight="1" x14ac:dyDescent="0.35">
      <c r="A411" s="3">
        <v>45013</v>
      </c>
      <c r="B411" s="4">
        <v>146.55000000000001</v>
      </c>
      <c r="C411" s="4">
        <v>146.82</v>
      </c>
      <c r="D411" s="4">
        <v>145.80000000000001</v>
      </c>
      <c r="E411" s="4">
        <v>146.36000000000001</v>
      </c>
      <c r="F411" s="4">
        <v>146.36000000000001</v>
      </c>
      <c r="G411" s="13">
        <f t="shared" si="6"/>
        <v>2.8091812264475851E-3</v>
      </c>
    </row>
    <row r="412" spans="1:7" ht="15" customHeight="1" x14ac:dyDescent="0.35">
      <c r="A412" s="3">
        <v>45012</v>
      </c>
      <c r="B412" s="4">
        <v>146.88999999999999</v>
      </c>
      <c r="C412" s="4">
        <v>147.41999999999999</v>
      </c>
      <c r="D412" s="4">
        <v>145.87</v>
      </c>
      <c r="E412" s="4">
        <v>145.94999999999999</v>
      </c>
      <c r="F412" s="4">
        <v>145.94999999999999</v>
      </c>
      <c r="G412" s="13">
        <f t="shared" si="6"/>
        <v>-5.2480916030535046E-3</v>
      </c>
    </row>
    <row r="413" spans="1:7" ht="15" customHeight="1" x14ac:dyDescent="0.35">
      <c r="A413" s="3">
        <v>45009</v>
      </c>
      <c r="B413" s="4">
        <v>144.30000000000001</v>
      </c>
      <c r="C413" s="4">
        <v>146.76</v>
      </c>
      <c r="D413" s="4">
        <v>144.30000000000001</v>
      </c>
      <c r="E413" s="4">
        <v>146.72</v>
      </c>
      <c r="F413" s="4">
        <v>146.72</v>
      </c>
      <c r="G413" s="13">
        <f t="shared" si="6"/>
        <v>2.0376938591000815E-2</v>
      </c>
    </row>
    <row r="414" spans="1:7" ht="15" customHeight="1" x14ac:dyDescent="0.35">
      <c r="A414" s="3">
        <v>45008</v>
      </c>
      <c r="B414" s="4">
        <v>144.24</v>
      </c>
      <c r="C414" s="4">
        <v>145.12</v>
      </c>
      <c r="D414" s="4">
        <v>143.19</v>
      </c>
      <c r="E414" s="4">
        <v>143.79</v>
      </c>
      <c r="F414" s="4">
        <v>143.79</v>
      </c>
      <c r="G414" s="13">
        <f t="shared" si="6"/>
        <v>-1.3889853462047159E-3</v>
      </c>
    </row>
    <row r="415" spans="1:7" ht="15" customHeight="1" x14ac:dyDescent="0.35">
      <c r="A415" s="3">
        <v>45007</v>
      </c>
      <c r="B415" s="4">
        <v>144.04</v>
      </c>
      <c r="C415" s="4">
        <v>145.75</v>
      </c>
      <c r="D415" s="4">
        <v>143.83000000000001</v>
      </c>
      <c r="E415" s="4">
        <v>143.99</v>
      </c>
      <c r="F415" s="4">
        <v>143.99</v>
      </c>
      <c r="G415" s="13">
        <f t="shared" si="6"/>
        <v>-6.2465297057192812E-4</v>
      </c>
    </row>
    <row r="416" spans="1:7" ht="15" customHeight="1" x14ac:dyDescent="0.35">
      <c r="A416" s="3">
        <v>45006</v>
      </c>
      <c r="B416" s="4">
        <v>144.91</v>
      </c>
      <c r="C416" s="4">
        <v>145.22999999999999</v>
      </c>
      <c r="D416" s="4">
        <v>142.84</v>
      </c>
      <c r="E416" s="4">
        <v>144.08000000000001</v>
      </c>
      <c r="F416" s="4">
        <v>144.08000000000001</v>
      </c>
      <c r="G416" s="13">
        <f t="shared" si="6"/>
        <v>-7.2348928546818918E-3</v>
      </c>
    </row>
    <row r="417" spans="1:7" ht="15" customHeight="1" x14ac:dyDescent="0.35">
      <c r="A417" s="3">
        <v>45005</v>
      </c>
      <c r="B417" s="4">
        <v>143.5</v>
      </c>
      <c r="C417" s="4">
        <v>145.4</v>
      </c>
      <c r="D417" s="4">
        <v>143.22999999999999</v>
      </c>
      <c r="E417" s="4">
        <v>145.13</v>
      </c>
      <c r="F417" s="4">
        <v>145.13</v>
      </c>
      <c r="G417" s="13">
        <f t="shared" si="6"/>
        <v>1.5392150003498136E-2</v>
      </c>
    </row>
    <row r="418" spans="1:7" ht="15" customHeight="1" x14ac:dyDescent="0.35">
      <c r="A418" s="3">
        <v>45002</v>
      </c>
      <c r="B418" s="4">
        <v>142.5</v>
      </c>
      <c r="C418" s="4">
        <v>143.38999999999999</v>
      </c>
      <c r="D418" s="4">
        <v>141.53</v>
      </c>
      <c r="E418" s="4">
        <v>142.93</v>
      </c>
      <c r="F418" s="4">
        <v>142.93</v>
      </c>
      <c r="G418" s="13">
        <f t="shared" si="6"/>
        <v>2.7993561480873727E-4</v>
      </c>
    </row>
    <row r="419" spans="1:7" ht="15" customHeight="1" x14ac:dyDescent="0.35">
      <c r="A419" s="3">
        <v>45001</v>
      </c>
      <c r="B419" s="4">
        <v>141.94</v>
      </c>
      <c r="C419" s="4">
        <v>143.12</v>
      </c>
      <c r="D419" s="4">
        <v>141.61000000000001</v>
      </c>
      <c r="E419" s="4">
        <v>142.88999999999999</v>
      </c>
      <c r="F419" s="4">
        <v>142.88999999999999</v>
      </c>
      <c r="G419" s="13">
        <f t="shared" si="6"/>
        <v>7.4737361630118713E-3</v>
      </c>
    </row>
    <row r="420" spans="1:7" ht="15" customHeight="1" x14ac:dyDescent="0.35">
      <c r="A420" s="3">
        <v>45000</v>
      </c>
      <c r="B420" s="4">
        <v>138.81</v>
      </c>
      <c r="C420" s="4">
        <v>142.15</v>
      </c>
      <c r="D420" s="4">
        <v>138.81</v>
      </c>
      <c r="E420" s="4">
        <v>141.83000000000001</v>
      </c>
      <c r="F420" s="4">
        <v>141.83000000000001</v>
      </c>
      <c r="G420" s="13">
        <f t="shared" si="6"/>
        <v>1.4158026456918257E-2</v>
      </c>
    </row>
    <row r="421" spans="1:7" ht="15" customHeight="1" x14ac:dyDescent="0.35">
      <c r="A421" s="3">
        <v>44999</v>
      </c>
      <c r="B421" s="4">
        <v>138.29</v>
      </c>
      <c r="C421" s="4">
        <v>140.11000000000001</v>
      </c>
      <c r="D421" s="4">
        <v>137.4</v>
      </c>
      <c r="E421" s="4">
        <v>139.85</v>
      </c>
      <c r="F421" s="4">
        <v>139.85</v>
      </c>
      <c r="G421" s="13">
        <f t="shared" si="6"/>
        <v>1.2378746199507804E-2</v>
      </c>
    </row>
    <row r="422" spans="1:7" ht="15" customHeight="1" x14ac:dyDescent="0.35">
      <c r="A422" s="3">
        <v>44998</v>
      </c>
      <c r="B422" s="4">
        <v>137.04</v>
      </c>
      <c r="C422" s="4">
        <v>141.32</v>
      </c>
      <c r="D422" s="4">
        <v>137.04</v>
      </c>
      <c r="E422" s="4">
        <v>138.13999999999999</v>
      </c>
      <c r="F422" s="4">
        <v>138.13999999999999</v>
      </c>
      <c r="G422" s="13">
        <f t="shared" si="6"/>
        <v>6.9247029666884511E-3</v>
      </c>
    </row>
    <row r="423" spans="1:7" ht="15" customHeight="1" x14ac:dyDescent="0.35">
      <c r="A423" s="3">
        <v>44995</v>
      </c>
      <c r="B423" s="4">
        <v>136.94999999999999</v>
      </c>
      <c r="C423" s="4">
        <v>137.99</v>
      </c>
      <c r="D423" s="4">
        <v>136.35</v>
      </c>
      <c r="E423" s="4">
        <v>137.19</v>
      </c>
      <c r="F423" s="4">
        <v>137.19</v>
      </c>
      <c r="G423" s="13">
        <f t="shared" si="6"/>
        <v>4.5397964413854035E-3</v>
      </c>
    </row>
    <row r="424" spans="1:7" ht="15" customHeight="1" x14ac:dyDescent="0.35">
      <c r="A424" s="3">
        <v>44994</v>
      </c>
      <c r="B424" s="4">
        <v>138.15</v>
      </c>
      <c r="C424" s="4">
        <v>138.56</v>
      </c>
      <c r="D424" s="4">
        <v>136.1</v>
      </c>
      <c r="E424" s="4">
        <v>136.57</v>
      </c>
      <c r="F424" s="4">
        <v>136.57</v>
      </c>
      <c r="G424" s="13">
        <f t="shared" si="6"/>
        <v>-7.3411833115279782E-3</v>
      </c>
    </row>
    <row r="425" spans="1:7" ht="15" customHeight="1" x14ac:dyDescent="0.35">
      <c r="A425" s="3">
        <v>44993</v>
      </c>
      <c r="B425" s="4">
        <v>137.19999999999999</v>
      </c>
      <c r="C425" s="4">
        <v>137.69</v>
      </c>
      <c r="D425" s="4">
        <v>136.6</v>
      </c>
      <c r="E425" s="4">
        <v>137.58000000000001</v>
      </c>
      <c r="F425" s="4">
        <v>137.58000000000001</v>
      </c>
      <c r="G425" s="13">
        <f t="shared" si="6"/>
        <v>1.4539110206462802E-4</v>
      </c>
    </row>
    <row r="426" spans="1:7" ht="15" customHeight="1" x14ac:dyDescent="0.35">
      <c r="A426" s="3">
        <v>44992</v>
      </c>
      <c r="B426" s="4">
        <v>140.43</v>
      </c>
      <c r="C426" s="4">
        <v>140.62</v>
      </c>
      <c r="D426" s="4">
        <v>137.34</v>
      </c>
      <c r="E426" s="4">
        <v>137.56</v>
      </c>
      <c r="F426" s="4">
        <v>137.56</v>
      </c>
      <c r="G426" s="13">
        <f t="shared" si="6"/>
        <v>-1.9878874242963963E-2</v>
      </c>
    </row>
    <row r="427" spans="1:7" ht="15" customHeight="1" x14ac:dyDescent="0.35">
      <c r="A427" s="3">
        <v>44991</v>
      </c>
      <c r="B427" s="4">
        <v>140.72999999999999</v>
      </c>
      <c r="C427" s="4">
        <v>141.13999999999999</v>
      </c>
      <c r="D427" s="4">
        <v>139.94</v>
      </c>
      <c r="E427" s="4">
        <v>140.35</v>
      </c>
      <c r="F427" s="4">
        <v>140.35</v>
      </c>
      <c r="G427" s="13">
        <f t="shared" si="6"/>
        <v>-4.2568286626462884E-3</v>
      </c>
    </row>
    <row r="428" spans="1:7" ht="15" customHeight="1" x14ac:dyDescent="0.35">
      <c r="A428" s="3">
        <v>44988</v>
      </c>
      <c r="B428" s="4">
        <v>141.19</v>
      </c>
      <c r="C428" s="4">
        <v>141.24</v>
      </c>
      <c r="D428" s="4">
        <v>139.97</v>
      </c>
      <c r="E428" s="4">
        <v>140.94999999999999</v>
      </c>
      <c r="F428" s="4">
        <v>140.94999999999999</v>
      </c>
      <c r="G428" s="13">
        <f t="shared" si="6"/>
        <v>7.2893589651967542E-3</v>
      </c>
    </row>
    <row r="429" spans="1:7" ht="15" customHeight="1" x14ac:dyDescent="0.35">
      <c r="A429" s="3">
        <v>44987</v>
      </c>
      <c r="B429" s="4">
        <v>138</v>
      </c>
      <c r="C429" s="4">
        <v>140.43</v>
      </c>
      <c r="D429" s="4">
        <v>137.78</v>
      </c>
      <c r="E429" s="4">
        <v>139.93</v>
      </c>
      <c r="F429" s="4">
        <v>139.93</v>
      </c>
      <c r="G429" s="13">
        <f t="shared" si="6"/>
        <v>1.6489902658724468E-2</v>
      </c>
    </row>
    <row r="430" spans="1:7" ht="15" customHeight="1" x14ac:dyDescent="0.35">
      <c r="A430" s="3">
        <v>44986</v>
      </c>
      <c r="B430" s="4">
        <v>138.05000000000001</v>
      </c>
      <c r="C430" s="4">
        <v>138.33000000000001</v>
      </c>
      <c r="D430" s="4">
        <v>136.51</v>
      </c>
      <c r="E430" s="4">
        <v>137.66</v>
      </c>
      <c r="F430" s="4">
        <v>137.66</v>
      </c>
      <c r="G430" s="13">
        <f t="shared" si="6"/>
        <v>7.2695551032272694E-4</v>
      </c>
    </row>
    <row r="431" spans="1:7" ht="15" customHeight="1" x14ac:dyDescent="0.35">
      <c r="A431" s="3">
        <v>44985</v>
      </c>
      <c r="B431" s="4">
        <v>138.44999999999999</v>
      </c>
      <c r="C431" s="4">
        <v>138.59</v>
      </c>
      <c r="D431" s="4">
        <v>137.28</v>
      </c>
      <c r="E431" s="4">
        <v>137.56</v>
      </c>
      <c r="F431" s="4">
        <v>137.56</v>
      </c>
      <c r="G431" s="13">
        <f t="shared" si="6"/>
        <v>-1.1355469311484722E-2</v>
      </c>
    </row>
    <row r="432" spans="1:7" ht="15" customHeight="1" x14ac:dyDescent="0.35">
      <c r="A432" s="3">
        <v>44984</v>
      </c>
      <c r="B432" s="4">
        <v>139.61000000000001</v>
      </c>
      <c r="C432" s="4">
        <v>140.47</v>
      </c>
      <c r="D432" s="4">
        <v>138.53</v>
      </c>
      <c r="E432" s="4">
        <v>139.13999999999999</v>
      </c>
      <c r="F432" s="4">
        <v>139.13999999999999</v>
      </c>
      <c r="G432" s="13">
        <f t="shared" si="6"/>
        <v>-8.6169754416203187E-4</v>
      </c>
    </row>
    <row r="433" spans="1:7" ht="15" customHeight="1" x14ac:dyDescent="0.35">
      <c r="A433" s="3">
        <v>44981</v>
      </c>
      <c r="B433" s="4">
        <v>138.93</v>
      </c>
      <c r="C433" s="4">
        <v>139.43</v>
      </c>
      <c r="D433" s="4">
        <v>138.08000000000001</v>
      </c>
      <c r="E433" s="4">
        <v>139.26</v>
      </c>
      <c r="F433" s="4">
        <v>139.26</v>
      </c>
      <c r="G433" s="13">
        <f t="shared" si="6"/>
        <v>-5.6408425562300638E-3</v>
      </c>
    </row>
    <row r="434" spans="1:7" ht="15" customHeight="1" x14ac:dyDescent="0.35">
      <c r="A434" s="3">
        <v>44980</v>
      </c>
      <c r="B434" s="4">
        <v>140.22999999999999</v>
      </c>
      <c r="C434" s="4">
        <v>141.13999999999999</v>
      </c>
      <c r="D434" s="4">
        <v>139.1</v>
      </c>
      <c r="E434" s="4">
        <v>140.05000000000001</v>
      </c>
      <c r="F434" s="4">
        <v>140.05000000000001</v>
      </c>
      <c r="G434" s="13">
        <f t="shared" si="6"/>
        <v>-3.2028469750888869E-3</v>
      </c>
    </row>
    <row r="435" spans="1:7" ht="15" customHeight="1" x14ac:dyDescent="0.35">
      <c r="A435" s="3">
        <v>44979</v>
      </c>
      <c r="B435" s="4">
        <v>139.97999999999999</v>
      </c>
      <c r="C435" s="4">
        <v>141.58000000000001</v>
      </c>
      <c r="D435" s="4">
        <v>139.88</v>
      </c>
      <c r="E435" s="4">
        <v>140.5</v>
      </c>
      <c r="F435" s="4">
        <v>140.5</v>
      </c>
      <c r="G435" s="13">
        <f t="shared" si="6"/>
        <v>4.2169966406976154E-3</v>
      </c>
    </row>
    <row r="436" spans="1:7" ht="15" customHeight="1" x14ac:dyDescent="0.35">
      <c r="A436" s="3">
        <v>44978</v>
      </c>
      <c r="B436" s="4">
        <v>138.87</v>
      </c>
      <c r="C436" s="4">
        <v>140.88999999999999</v>
      </c>
      <c r="D436" s="4">
        <v>138.87</v>
      </c>
      <c r="E436" s="4">
        <v>139.91</v>
      </c>
      <c r="F436" s="4">
        <v>139.91</v>
      </c>
      <c r="G436" s="13">
        <f t="shared" si="6"/>
        <v>-7.1423469752156504E-4</v>
      </c>
    </row>
    <row r="437" spans="1:7" ht="15" customHeight="1" x14ac:dyDescent="0.35">
      <c r="A437" s="3">
        <v>44974</v>
      </c>
      <c r="B437" s="4">
        <v>136.59</v>
      </c>
      <c r="C437" s="4">
        <v>140.04</v>
      </c>
      <c r="D437" s="4">
        <v>136.59</v>
      </c>
      <c r="E437" s="4">
        <v>140.01</v>
      </c>
      <c r="F437" s="4">
        <v>140.01</v>
      </c>
      <c r="G437" s="13">
        <f t="shared" si="6"/>
        <v>2.0927519323319273E-2</v>
      </c>
    </row>
    <row r="438" spans="1:7" ht="15" customHeight="1" x14ac:dyDescent="0.35">
      <c r="A438" s="3">
        <v>44973</v>
      </c>
      <c r="B438" s="4">
        <v>137.38999999999999</v>
      </c>
      <c r="C438" s="4">
        <v>138.19999999999999</v>
      </c>
      <c r="D438" s="4">
        <v>136.55000000000001</v>
      </c>
      <c r="E438" s="4">
        <v>137.13999999999999</v>
      </c>
      <c r="F438" s="4">
        <v>137.13999999999999</v>
      </c>
      <c r="G438" s="13">
        <f t="shared" si="6"/>
        <v>-1.3097294185377242E-2</v>
      </c>
    </row>
    <row r="439" spans="1:7" ht="15" customHeight="1" x14ac:dyDescent="0.35">
      <c r="A439" s="3">
        <v>44972</v>
      </c>
      <c r="B439" s="4">
        <v>139.11000000000001</v>
      </c>
      <c r="C439" s="4">
        <v>139.32</v>
      </c>
      <c r="D439" s="4">
        <v>138.07</v>
      </c>
      <c r="E439" s="4">
        <v>138.96</v>
      </c>
      <c r="F439" s="4">
        <v>138.96</v>
      </c>
      <c r="G439" s="13">
        <f t="shared" si="6"/>
        <v>-2.2975301550832365E-3</v>
      </c>
    </row>
    <row r="440" spans="1:7" ht="15" customHeight="1" x14ac:dyDescent="0.35">
      <c r="A440" s="3">
        <v>44971</v>
      </c>
      <c r="B440" s="4">
        <v>140.13999999999999</v>
      </c>
      <c r="C440" s="4">
        <v>140.24</v>
      </c>
      <c r="D440" s="4">
        <v>138.62</v>
      </c>
      <c r="E440" s="4">
        <v>139.28</v>
      </c>
      <c r="F440" s="4">
        <v>139.28</v>
      </c>
      <c r="G440" s="13">
        <f t="shared" si="6"/>
        <v>-5.6400371242949386E-3</v>
      </c>
    </row>
    <row r="441" spans="1:7" ht="15" customHeight="1" x14ac:dyDescent="0.35">
      <c r="A441" s="3">
        <v>44970</v>
      </c>
      <c r="B441" s="4">
        <v>138.94</v>
      </c>
      <c r="C441" s="4">
        <v>140.44999999999999</v>
      </c>
      <c r="D441" s="4">
        <v>138.74</v>
      </c>
      <c r="E441" s="4">
        <v>140.07</v>
      </c>
      <c r="F441" s="4">
        <v>140.07</v>
      </c>
      <c r="G441" s="13">
        <f t="shared" si="6"/>
        <v>1.3091277303630858E-2</v>
      </c>
    </row>
    <row r="442" spans="1:7" ht="15" customHeight="1" x14ac:dyDescent="0.35">
      <c r="A442" s="3">
        <v>44967</v>
      </c>
      <c r="B442" s="4">
        <v>136.94999999999999</v>
      </c>
      <c r="C442" s="4">
        <v>138.30000000000001</v>
      </c>
      <c r="D442" s="4">
        <v>135.83000000000001</v>
      </c>
      <c r="E442" s="4">
        <v>138.26</v>
      </c>
      <c r="F442" s="4">
        <v>138.26</v>
      </c>
      <c r="G442" s="13">
        <f t="shared" si="6"/>
        <v>8.8288945640275767E-3</v>
      </c>
    </row>
    <row r="443" spans="1:7" ht="15" customHeight="1" x14ac:dyDescent="0.35">
      <c r="A443" s="3">
        <v>44966</v>
      </c>
      <c r="B443" s="4">
        <v>138.88</v>
      </c>
      <c r="C443" s="4">
        <v>139.33000000000001</v>
      </c>
      <c r="D443" s="4">
        <v>137</v>
      </c>
      <c r="E443" s="4">
        <v>137.05000000000001</v>
      </c>
      <c r="F443" s="4">
        <v>137.05000000000001</v>
      </c>
      <c r="G443" s="13">
        <f t="shared" si="6"/>
        <v>-1.0969185249332337E-2</v>
      </c>
    </row>
    <row r="444" spans="1:7" ht="15" customHeight="1" x14ac:dyDescent="0.35">
      <c r="A444" s="3">
        <v>44965</v>
      </c>
      <c r="B444" s="4">
        <v>139.06</v>
      </c>
      <c r="C444" s="4">
        <v>139.54</v>
      </c>
      <c r="D444" s="4">
        <v>138.41</v>
      </c>
      <c r="E444" s="4">
        <v>138.57</v>
      </c>
      <c r="F444" s="4">
        <v>138.57</v>
      </c>
      <c r="G444" s="13">
        <f t="shared" si="6"/>
        <v>-1.0355663476646314E-2</v>
      </c>
    </row>
    <row r="445" spans="1:7" ht="15" customHeight="1" x14ac:dyDescent="0.35">
      <c r="A445" s="3">
        <v>44964</v>
      </c>
      <c r="B445" s="4">
        <v>139.97</v>
      </c>
      <c r="C445" s="4">
        <v>140.79</v>
      </c>
      <c r="D445" s="4">
        <v>138.78</v>
      </c>
      <c r="E445" s="4">
        <v>140.02000000000001</v>
      </c>
      <c r="F445" s="4">
        <v>140.02000000000001</v>
      </c>
      <c r="G445" s="13">
        <f t="shared" si="6"/>
        <v>-9.7595473833097263E-3</v>
      </c>
    </row>
    <row r="446" spans="1:7" ht="15" customHeight="1" x14ac:dyDescent="0.35">
      <c r="A446" s="3">
        <v>44963</v>
      </c>
      <c r="B446" s="4">
        <v>142.01</v>
      </c>
      <c r="C446" s="4">
        <v>142.63999999999999</v>
      </c>
      <c r="D446" s="4">
        <v>141.01</v>
      </c>
      <c r="E446" s="4">
        <v>141.4</v>
      </c>
      <c r="F446" s="4">
        <v>141.4</v>
      </c>
      <c r="G446" s="13">
        <f t="shared" si="6"/>
        <v>-8.4846784937943186E-3</v>
      </c>
    </row>
    <row r="447" spans="1:7" ht="15" customHeight="1" x14ac:dyDescent="0.35">
      <c r="A447" s="3">
        <v>44960</v>
      </c>
      <c r="B447" s="4">
        <v>142.78</v>
      </c>
      <c r="C447" s="4">
        <v>143.38</v>
      </c>
      <c r="D447" s="4">
        <v>141.16999999999999</v>
      </c>
      <c r="E447" s="4">
        <v>142.61000000000001</v>
      </c>
      <c r="F447" s="4">
        <v>142.61000000000001</v>
      </c>
      <c r="G447" s="13">
        <f t="shared" si="6"/>
        <v>3.0948864036015066E-3</v>
      </c>
    </row>
    <row r="448" spans="1:7" ht="15" customHeight="1" x14ac:dyDescent="0.35">
      <c r="A448" s="3">
        <v>44959</v>
      </c>
      <c r="B448" s="4">
        <v>142.16999999999999</v>
      </c>
      <c r="C448" s="4">
        <v>142.71</v>
      </c>
      <c r="D448" s="4">
        <v>141.21</v>
      </c>
      <c r="E448" s="4">
        <v>142.16999999999999</v>
      </c>
      <c r="F448" s="4">
        <v>142.16999999999999</v>
      </c>
      <c r="G448" s="13">
        <f t="shared" si="6"/>
        <v>-7.1234024722397534E-3</v>
      </c>
    </row>
    <row r="449" spans="1:7" ht="15" customHeight="1" x14ac:dyDescent="0.35">
      <c r="A449" s="3">
        <v>44958</v>
      </c>
      <c r="B449" s="4">
        <v>142.08000000000001</v>
      </c>
      <c r="C449" s="4">
        <v>144.1</v>
      </c>
      <c r="D449" s="4">
        <v>141.35</v>
      </c>
      <c r="E449" s="4">
        <v>143.19</v>
      </c>
      <c r="F449" s="4">
        <v>143.19</v>
      </c>
      <c r="G449" s="13">
        <f t="shared" si="6"/>
        <v>5.6890012642225197E-3</v>
      </c>
    </row>
    <row r="450" spans="1:7" ht="15" customHeight="1" x14ac:dyDescent="0.35">
      <c r="A450" s="3">
        <v>44957</v>
      </c>
      <c r="B450" s="4">
        <v>141.22999999999999</v>
      </c>
      <c r="C450" s="4">
        <v>142.47</v>
      </c>
      <c r="D450" s="4">
        <v>140.76</v>
      </c>
      <c r="E450" s="4">
        <v>142.38</v>
      </c>
      <c r="F450" s="4">
        <v>142.38</v>
      </c>
      <c r="G450" s="13">
        <f t="shared" ref="G450:G506" si="7">(F450-F451)/F451</f>
        <v>9.7156230054606385E-3</v>
      </c>
    </row>
    <row r="451" spans="1:7" ht="15" customHeight="1" x14ac:dyDescent="0.35">
      <c r="A451" s="3">
        <v>44956</v>
      </c>
      <c r="B451" s="4">
        <v>140.96</v>
      </c>
      <c r="C451" s="4">
        <v>142.12</v>
      </c>
      <c r="D451" s="4">
        <v>140.28</v>
      </c>
      <c r="E451" s="4">
        <v>141.01</v>
      </c>
      <c r="F451" s="4">
        <v>141.01</v>
      </c>
      <c r="G451" s="13">
        <f t="shared" si="7"/>
        <v>3.1301131109055828E-3</v>
      </c>
    </row>
    <row r="452" spans="1:7" ht="15" customHeight="1" x14ac:dyDescent="0.35">
      <c r="A452" s="3">
        <v>44953</v>
      </c>
      <c r="B452" s="4">
        <v>141.07</v>
      </c>
      <c r="C452" s="4">
        <v>141.36000000000001</v>
      </c>
      <c r="D452" s="4">
        <v>139.29</v>
      </c>
      <c r="E452" s="4">
        <v>140.57</v>
      </c>
      <c r="F452" s="4">
        <v>140.57</v>
      </c>
      <c r="G452" s="13">
        <f t="shared" si="7"/>
        <v>-4.1091037902941021E-3</v>
      </c>
    </row>
    <row r="453" spans="1:7" ht="15" customHeight="1" x14ac:dyDescent="0.35">
      <c r="A453" s="3">
        <v>44952</v>
      </c>
      <c r="B453" s="4">
        <v>141.72999999999999</v>
      </c>
      <c r="C453" s="4">
        <v>141.74</v>
      </c>
      <c r="D453" s="4">
        <v>140.74</v>
      </c>
      <c r="E453" s="4">
        <v>141.15</v>
      </c>
      <c r="F453" s="4">
        <v>141.15</v>
      </c>
      <c r="G453" s="13">
        <f t="shared" si="7"/>
        <v>-4.0220152413208664E-3</v>
      </c>
    </row>
    <row r="454" spans="1:7" ht="15" customHeight="1" x14ac:dyDescent="0.35">
      <c r="A454" s="3">
        <v>44951</v>
      </c>
      <c r="B454" s="4">
        <v>140.38999999999999</v>
      </c>
      <c r="C454" s="4">
        <v>141.75</v>
      </c>
      <c r="D454" s="4">
        <v>138.72999999999999</v>
      </c>
      <c r="E454" s="4">
        <v>141.72</v>
      </c>
      <c r="F454" s="4">
        <v>141.72</v>
      </c>
      <c r="G454" s="13">
        <f t="shared" si="7"/>
        <v>-7.0511916513886844E-4</v>
      </c>
    </row>
    <row r="455" spans="1:7" ht="15" customHeight="1" x14ac:dyDescent="0.35">
      <c r="A455" s="3">
        <v>44950</v>
      </c>
      <c r="B455" s="4">
        <v>140.69</v>
      </c>
      <c r="C455" s="4">
        <v>142.38</v>
      </c>
      <c r="D455" s="4">
        <v>139.81</v>
      </c>
      <c r="E455" s="4">
        <v>141.82</v>
      </c>
      <c r="F455" s="4">
        <v>141.82</v>
      </c>
      <c r="G455" s="13">
        <f t="shared" si="7"/>
        <v>5.4590570719601685E-3</v>
      </c>
    </row>
    <row r="456" spans="1:7" ht="15" customHeight="1" x14ac:dyDescent="0.35">
      <c r="A456" s="3">
        <v>44949</v>
      </c>
      <c r="B456" s="4">
        <v>143.36000000000001</v>
      </c>
      <c r="C456" s="4">
        <v>143.69999999999999</v>
      </c>
      <c r="D456" s="4">
        <v>140.69</v>
      </c>
      <c r="E456" s="4">
        <v>141.05000000000001</v>
      </c>
      <c r="F456" s="4">
        <v>141.05000000000001</v>
      </c>
      <c r="G456" s="13">
        <f t="shared" si="7"/>
        <v>-1.3429390781282699E-2</v>
      </c>
    </row>
    <row r="457" spans="1:7" ht="15" customHeight="1" x14ac:dyDescent="0.35">
      <c r="A457" s="3">
        <v>44946</v>
      </c>
      <c r="B457" s="4">
        <v>142.32</v>
      </c>
      <c r="C457" s="4">
        <v>143.15</v>
      </c>
      <c r="D457" s="4">
        <v>140.15</v>
      </c>
      <c r="E457" s="4">
        <v>142.97</v>
      </c>
      <c r="F457" s="4">
        <v>142.97</v>
      </c>
      <c r="G457" s="13">
        <f t="shared" si="7"/>
        <v>3.8618171605112445E-3</v>
      </c>
    </row>
    <row r="458" spans="1:7" ht="15" customHeight="1" x14ac:dyDescent="0.35">
      <c r="A458" s="3">
        <v>44945</v>
      </c>
      <c r="B458" s="4">
        <v>143.31</v>
      </c>
      <c r="C458" s="4">
        <v>146.22</v>
      </c>
      <c r="D458" s="4">
        <v>142.24</v>
      </c>
      <c r="E458" s="4">
        <v>142.41999999999999</v>
      </c>
      <c r="F458" s="4">
        <v>142.41999999999999</v>
      </c>
      <c r="G458" s="13">
        <f t="shared" si="7"/>
        <v>-2.7252236869066384E-2</v>
      </c>
    </row>
    <row r="459" spans="1:7" ht="15" customHeight="1" x14ac:dyDescent="0.35">
      <c r="A459" s="3">
        <v>44944</v>
      </c>
      <c r="B459" s="4">
        <v>149.66</v>
      </c>
      <c r="C459" s="4">
        <v>149.93</v>
      </c>
      <c r="D459" s="4">
        <v>146.04</v>
      </c>
      <c r="E459" s="4">
        <v>146.41</v>
      </c>
      <c r="F459" s="4">
        <v>146.41</v>
      </c>
      <c r="G459" s="13">
        <f t="shared" si="7"/>
        <v>-2.6788088274395116E-2</v>
      </c>
    </row>
    <row r="460" spans="1:7" ht="15" customHeight="1" x14ac:dyDescent="0.35">
      <c r="A460" s="3">
        <v>44943</v>
      </c>
      <c r="B460" s="4">
        <v>150.79</v>
      </c>
      <c r="C460" s="4">
        <v>152.13</v>
      </c>
      <c r="D460" s="4">
        <v>150.4</v>
      </c>
      <c r="E460" s="4">
        <v>150.44</v>
      </c>
      <c r="F460" s="4">
        <v>150.44</v>
      </c>
      <c r="G460" s="13">
        <f t="shared" si="7"/>
        <v>-2.9162248144220422E-3</v>
      </c>
    </row>
    <row r="461" spans="1:7" ht="15" customHeight="1" x14ac:dyDescent="0.35">
      <c r="A461" s="3">
        <v>44939</v>
      </c>
      <c r="B461" s="4">
        <v>149.61000000000001</v>
      </c>
      <c r="C461" s="4">
        <v>151.05000000000001</v>
      </c>
      <c r="D461" s="4">
        <v>149.41999999999999</v>
      </c>
      <c r="E461" s="4">
        <v>150.88</v>
      </c>
      <c r="F461" s="4">
        <v>150.88</v>
      </c>
      <c r="G461" s="13">
        <f t="shared" si="7"/>
        <v>7.1423803484413134E-3</v>
      </c>
    </row>
    <row r="462" spans="1:7" ht="15" customHeight="1" x14ac:dyDescent="0.35">
      <c r="A462" s="3">
        <v>44938</v>
      </c>
      <c r="B462" s="4">
        <v>151.69999999999999</v>
      </c>
      <c r="C462" s="4">
        <v>151.72999999999999</v>
      </c>
      <c r="D462" s="4">
        <v>149.52000000000001</v>
      </c>
      <c r="E462" s="4">
        <v>149.81</v>
      </c>
      <c r="F462" s="4">
        <v>149.81</v>
      </c>
      <c r="G462" s="13">
        <f t="shared" si="7"/>
        <v>-5.6418425594052454E-3</v>
      </c>
    </row>
    <row r="463" spans="1:7" ht="15" customHeight="1" x14ac:dyDescent="0.35">
      <c r="A463" s="3">
        <v>44937</v>
      </c>
      <c r="B463" s="4">
        <v>152.32</v>
      </c>
      <c r="C463" s="4">
        <v>152.56</v>
      </c>
      <c r="D463" s="4">
        <v>149.35</v>
      </c>
      <c r="E463" s="4">
        <v>150.66</v>
      </c>
      <c r="F463" s="4">
        <v>150.66</v>
      </c>
      <c r="G463" s="13">
        <f t="shared" si="7"/>
        <v>-8.0979656330238316E-3</v>
      </c>
    </row>
    <row r="464" spans="1:7" ht="15" customHeight="1" x14ac:dyDescent="0.35">
      <c r="A464" s="3">
        <v>44936</v>
      </c>
      <c r="B464" s="4">
        <v>152.1</v>
      </c>
      <c r="C464" s="4">
        <v>152.69999999999999</v>
      </c>
      <c r="D464" s="4">
        <v>150.94</v>
      </c>
      <c r="E464" s="4">
        <v>151.88999999999999</v>
      </c>
      <c r="F464" s="4">
        <v>151.88999999999999</v>
      </c>
      <c r="G464" s="13">
        <f t="shared" si="7"/>
        <v>-9.8658247829522283E-4</v>
      </c>
    </row>
    <row r="465" spans="1:7" ht="15" customHeight="1" x14ac:dyDescent="0.35">
      <c r="A465" s="3">
        <v>44935</v>
      </c>
      <c r="B465" s="4">
        <v>153.44</v>
      </c>
      <c r="C465" s="4">
        <v>154.80000000000001</v>
      </c>
      <c r="D465" s="4">
        <v>152</v>
      </c>
      <c r="E465" s="4">
        <v>152.04</v>
      </c>
      <c r="F465" s="4">
        <v>152.04</v>
      </c>
      <c r="G465" s="13">
        <f t="shared" si="7"/>
        <v>-1.2214137214137185E-2</v>
      </c>
    </row>
    <row r="466" spans="1:7" ht="15" customHeight="1" x14ac:dyDescent="0.35">
      <c r="A466" s="3">
        <v>44932</v>
      </c>
      <c r="B466" s="4">
        <v>151.85</v>
      </c>
      <c r="C466" s="4">
        <v>154.46</v>
      </c>
      <c r="D466" s="4">
        <v>151.75</v>
      </c>
      <c r="E466" s="4">
        <v>153.91999999999999</v>
      </c>
      <c r="F466" s="4">
        <v>153.91999999999999</v>
      </c>
      <c r="G466" s="13">
        <f t="shared" si="7"/>
        <v>2.381269123320463E-2</v>
      </c>
    </row>
    <row r="467" spans="1:7" ht="15" customHeight="1" x14ac:dyDescent="0.35">
      <c r="A467" s="3">
        <v>44931</v>
      </c>
      <c r="B467" s="4">
        <v>152.21</v>
      </c>
      <c r="C467" s="4">
        <v>152.47999999999999</v>
      </c>
      <c r="D467" s="4">
        <v>150.13</v>
      </c>
      <c r="E467" s="4">
        <v>150.34</v>
      </c>
      <c r="F467" s="4">
        <v>150.34</v>
      </c>
      <c r="G467" s="13">
        <f t="shared" si="7"/>
        <v>-1.2415424029429065E-2</v>
      </c>
    </row>
    <row r="468" spans="1:7" ht="15" customHeight="1" x14ac:dyDescent="0.35">
      <c r="A468" s="3">
        <v>44930</v>
      </c>
      <c r="B468" s="4">
        <v>151.99</v>
      </c>
      <c r="C468" s="4">
        <v>153.38999999999999</v>
      </c>
      <c r="D468" s="4">
        <v>151.22999999999999</v>
      </c>
      <c r="E468" s="4">
        <v>152.22999999999999</v>
      </c>
      <c r="F468" s="4">
        <v>152.22999999999999</v>
      </c>
      <c r="G468" s="13">
        <f t="shared" si="7"/>
        <v>4.3544236986210773E-3</v>
      </c>
    </row>
    <row r="469" spans="1:7" ht="15" customHeight="1" x14ac:dyDescent="0.35">
      <c r="A469" s="3">
        <v>44929</v>
      </c>
      <c r="B469" s="4">
        <v>150.94999999999999</v>
      </c>
      <c r="C469" s="4">
        <v>151.71</v>
      </c>
      <c r="D469" s="4">
        <v>149.12</v>
      </c>
      <c r="E469" s="4">
        <v>151.57</v>
      </c>
      <c r="F469" s="4">
        <v>151.57</v>
      </c>
      <c r="G469" s="13">
        <f t="shared" si="7"/>
        <v>6.5980469780884836E-5</v>
      </c>
    </row>
    <row r="470" spans="1:7" ht="15" customHeight="1" x14ac:dyDescent="0.35">
      <c r="A470" s="3">
        <v>44925</v>
      </c>
      <c r="B470" s="4">
        <v>152.43</v>
      </c>
      <c r="C470" s="4">
        <v>152.68</v>
      </c>
      <c r="D470" s="4">
        <v>150.44</v>
      </c>
      <c r="E470" s="4">
        <v>151.56</v>
      </c>
      <c r="F470" s="4">
        <v>151.56</v>
      </c>
      <c r="G470" s="13">
        <f t="shared" si="7"/>
        <v>-6.7501146864145821E-3</v>
      </c>
    </row>
    <row r="471" spans="1:7" ht="15" customHeight="1" x14ac:dyDescent="0.35">
      <c r="A471" s="3">
        <v>44924</v>
      </c>
      <c r="B471" s="4">
        <v>152.81</v>
      </c>
      <c r="C471" s="4">
        <v>153.24</v>
      </c>
      <c r="D471" s="4">
        <v>152.13999999999999</v>
      </c>
      <c r="E471" s="4">
        <v>152.59</v>
      </c>
      <c r="F471" s="4">
        <v>152.59</v>
      </c>
      <c r="G471" s="13">
        <f t="shared" si="7"/>
        <v>4.1458278494340313E-3</v>
      </c>
    </row>
    <row r="472" spans="1:7" ht="15" customHeight="1" x14ac:dyDescent="0.35">
      <c r="A472" s="3">
        <v>44923</v>
      </c>
      <c r="B472" s="4">
        <v>154.28</v>
      </c>
      <c r="C472" s="4">
        <v>154.65</v>
      </c>
      <c r="D472" s="4">
        <v>151.9</v>
      </c>
      <c r="E472" s="4">
        <v>151.96</v>
      </c>
      <c r="F472" s="4">
        <v>151.96</v>
      </c>
      <c r="G472" s="13">
        <f t="shared" si="7"/>
        <v>-1.2926274764533814E-2</v>
      </c>
    </row>
    <row r="473" spans="1:7" ht="15" customHeight="1" x14ac:dyDescent="0.35">
      <c r="A473" s="3">
        <v>44922</v>
      </c>
      <c r="B473" s="4">
        <v>152.69999999999999</v>
      </c>
      <c r="C473" s="4">
        <v>154.32</v>
      </c>
      <c r="D473" s="4">
        <v>152.66</v>
      </c>
      <c r="E473" s="4">
        <v>153.94999999999999</v>
      </c>
      <c r="F473" s="4">
        <v>153.94999999999999</v>
      </c>
      <c r="G473" s="13">
        <f t="shared" si="7"/>
        <v>8.7144541999736869E-3</v>
      </c>
    </row>
    <row r="474" spans="1:7" ht="15" customHeight="1" x14ac:dyDescent="0.35">
      <c r="A474" s="3">
        <v>44918</v>
      </c>
      <c r="B474" s="4">
        <v>152.31</v>
      </c>
      <c r="C474" s="4">
        <v>152.91999999999999</v>
      </c>
      <c r="D474" s="4">
        <v>151.66999999999999</v>
      </c>
      <c r="E474" s="4">
        <v>152.62</v>
      </c>
      <c r="F474" s="4">
        <v>152.62</v>
      </c>
      <c r="G474" s="13">
        <f t="shared" si="7"/>
        <v>2.8254155989224446E-3</v>
      </c>
    </row>
    <row r="475" spans="1:7" ht="15" customHeight="1" x14ac:dyDescent="0.35">
      <c r="A475" s="3">
        <v>44917</v>
      </c>
      <c r="B475" s="4">
        <v>151.13</v>
      </c>
      <c r="C475" s="4">
        <v>152.41</v>
      </c>
      <c r="D475" s="4">
        <v>150.88</v>
      </c>
      <c r="E475" s="4">
        <v>152.19</v>
      </c>
      <c r="F475" s="4">
        <v>152.19</v>
      </c>
      <c r="G475" s="13">
        <f t="shared" si="7"/>
        <v>2.3050579557428496E-3</v>
      </c>
    </row>
    <row r="476" spans="1:7" ht="15" customHeight="1" x14ac:dyDescent="0.35">
      <c r="A476" s="3">
        <v>44916</v>
      </c>
      <c r="B476" s="4">
        <v>150.75</v>
      </c>
      <c r="C476" s="4">
        <v>152.63</v>
      </c>
      <c r="D476" s="4">
        <v>150.72</v>
      </c>
      <c r="E476" s="4">
        <v>151.84</v>
      </c>
      <c r="F476" s="4">
        <v>151.84</v>
      </c>
      <c r="G476" s="13">
        <f t="shared" si="7"/>
        <v>9.1718729230359924E-3</v>
      </c>
    </row>
    <row r="477" spans="1:7" ht="15" customHeight="1" x14ac:dyDescent="0.35">
      <c r="A477" s="3">
        <v>44915</v>
      </c>
      <c r="B477" s="4">
        <v>149.32</v>
      </c>
      <c r="C477" s="4">
        <v>150.9</v>
      </c>
      <c r="D477" s="4">
        <v>149.27000000000001</v>
      </c>
      <c r="E477" s="4">
        <v>150.46</v>
      </c>
      <c r="F477" s="4">
        <v>150.46</v>
      </c>
      <c r="G477" s="13">
        <f t="shared" si="7"/>
        <v>3.9893617021278106E-4</v>
      </c>
    </row>
    <row r="478" spans="1:7" ht="15" customHeight="1" x14ac:dyDescent="0.35">
      <c r="A478" s="3">
        <v>44914</v>
      </c>
      <c r="B478" s="4">
        <v>150.22</v>
      </c>
      <c r="C478" s="4">
        <v>151.38</v>
      </c>
      <c r="D478" s="4">
        <v>149.24</v>
      </c>
      <c r="E478" s="4">
        <v>150.4</v>
      </c>
      <c r="F478" s="4">
        <v>150.4</v>
      </c>
      <c r="G478" s="13">
        <f t="shared" si="7"/>
        <v>-2.6588673225200774E-4</v>
      </c>
    </row>
    <row r="479" spans="1:7" ht="15" customHeight="1" x14ac:dyDescent="0.35">
      <c r="A479" s="3">
        <v>44911</v>
      </c>
      <c r="B479" s="4">
        <v>150.36000000000001</v>
      </c>
      <c r="C479" s="4">
        <v>151.07</v>
      </c>
      <c r="D479" s="4">
        <v>149.02000000000001</v>
      </c>
      <c r="E479" s="4">
        <v>150.44</v>
      </c>
      <c r="F479" s="4">
        <v>150.44</v>
      </c>
      <c r="G479" s="13">
        <f t="shared" si="7"/>
        <v>-4.4338561312951882E-3</v>
      </c>
    </row>
    <row r="480" spans="1:7" ht="15" customHeight="1" x14ac:dyDescent="0.35">
      <c r="A480" s="3">
        <v>44910</v>
      </c>
      <c r="B480" s="4">
        <v>151.72</v>
      </c>
      <c r="C480" s="4">
        <v>152</v>
      </c>
      <c r="D480" s="4">
        <v>149.74</v>
      </c>
      <c r="E480" s="4">
        <v>151.11000000000001</v>
      </c>
      <c r="F480" s="4">
        <v>151.11000000000001</v>
      </c>
      <c r="G480" s="13">
        <f t="shared" si="7"/>
        <v>-1.1319026432870909E-2</v>
      </c>
    </row>
    <row r="481" spans="1:7" ht="15" customHeight="1" x14ac:dyDescent="0.35">
      <c r="A481" s="3">
        <v>44909</v>
      </c>
      <c r="B481" s="4">
        <v>152.79</v>
      </c>
      <c r="C481" s="4">
        <v>154.44</v>
      </c>
      <c r="D481" s="4">
        <v>152.16999999999999</v>
      </c>
      <c r="E481" s="4">
        <v>152.84</v>
      </c>
      <c r="F481" s="4">
        <v>152.84</v>
      </c>
      <c r="G481" s="13">
        <f t="shared" si="7"/>
        <v>3.9411455596426318E-3</v>
      </c>
    </row>
    <row r="482" spans="1:7" ht="15" customHeight="1" x14ac:dyDescent="0.35">
      <c r="A482" s="3">
        <v>44908</v>
      </c>
      <c r="B482" s="4">
        <v>153.41</v>
      </c>
      <c r="C482" s="4">
        <v>154.22999999999999</v>
      </c>
      <c r="D482" s="4">
        <v>150.79</v>
      </c>
      <c r="E482" s="4">
        <v>152.24</v>
      </c>
      <c r="F482" s="4">
        <v>152.24</v>
      </c>
      <c r="G482" s="13">
        <f t="shared" si="7"/>
        <v>-1.5084934741259905E-3</v>
      </c>
    </row>
    <row r="483" spans="1:7" ht="15" customHeight="1" x14ac:dyDescent="0.35">
      <c r="A483" s="3">
        <v>44907</v>
      </c>
      <c r="B483" s="4">
        <v>151.22</v>
      </c>
      <c r="C483" s="4">
        <v>152.56</v>
      </c>
      <c r="D483" s="4">
        <v>151.04</v>
      </c>
      <c r="E483" s="4">
        <v>152.47</v>
      </c>
      <c r="F483" s="4">
        <v>152.47</v>
      </c>
      <c r="G483" s="13">
        <f t="shared" si="7"/>
        <v>1.027034190299504E-2</v>
      </c>
    </row>
    <row r="484" spans="1:7" ht="15" customHeight="1" x14ac:dyDescent="0.35">
      <c r="A484" s="3">
        <v>44904</v>
      </c>
      <c r="B484" s="4">
        <v>150.69999999999999</v>
      </c>
      <c r="C484" s="4">
        <v>151.94999999999999</v>
      </c>
      <c r="D484" s="4">
        <v>150.22</v>
      </c>
      <c r="E484" s="4">
        <v>150.91999999999999</v>
      </c>
      <c r="F484" s="4">
        <v>150.91999999999999</v>
      </c>
      <c r="G484" s="13">
        <f t="shared" si="7"/>
        <v>-2.6434047052604132E-3</v>
      </c>
    </row>
    <row r="485" spans="1:7" ht="15" customHeight="1" x14ac:dyDescent="0.35">
      <c r="A485" s="3">
        <v>44903</v>
      </c>
      <c r="B485" s="4">
        <v>149.46</v>
      </c>
      <c r="C485" s="4">
        <v>151.38</v>
      </c>
      <c r="D485" s="4">
        <v>149.01</v>
      </c>
      <c r="E485" s="4">
        <v>151.32</v>
      </c>
      <c r="F485" s="4">
        <v>151.32</v>
      </c>
      <c r="G485" s="13">
        <f t="shared" si="7"/>
        <v>7.1884984025558044E-3</v>
      </c>
    </row>
    <row r="486" spans="1:7" ht="15" customHeight="1" x14ac:dyDescent="0.35">
      <c r="A486" s="3">
        <v>44902</v>
      </c>
      <c r="B486" s="4">
        <v>149.01</v>
      </c>
      <c r="C486" s="4">
        <v>150.43</v>
      </c>
      <c r="D486" s="4">
        <v>149.01</v>
      </c>
      <c r="E486" s="4">
        <v>150.24</v>
      </c>
      <c r="F486" s="4">
        <v>150.24</v>
      </c>
      <c r="G486" s="13">
        <f t="shared" si="7"/>
        <v>6.4308681672026252E-3</v>
      </c>
    </row>
    <row r="487" spans="1:7" ht="15" customHeight="1" x14ac:dyDescent="0.35">
      <c r="A487" s="3">
        <v>44901</v>
      </c>
      <c r="B487" s="4">
        <v>149.72</v>
      </c>
      <c r="C487" s="4">
        <v>150.08000000000001</v>
      </c>
      <c r="D487" s="4">
        <v>148.28</v>
      </c>
      <c r="E487" s="4">
        <v>149.28</v>
      </c>
      <c r="F487" s="4">
        <v>149.28</v>
      </c>
      <c r="G487" s="13">
        <f t="shared" si="7"/>
        <v>1.2743980146220251E-3</v>
      </c>
    </row>
    <row r="488" spans="1:7" ht="15" customHeight="1" x14ac:dyDescent="0.35">
      <c r="A488" s="3">
        <v>44900</v>
      </c>
      <c r="B488" s="4">
        <v>148.71</v>
      </c>
      <c r="C488" s="4">
        <v>149.66999999999999</v>
      </c>
      <c r="D488" s="4">
        <v>148.27000000000001</v>
      </c>
      <c r="E488" s="4">
        <v>149.09</v>
      </c>
      <c r="F488" s="4">
        <v>149.09</v>
      </c>
      <c r="G488" s="13">
        <f t="shared" si="7"/>
        <v>-1.0092291348516101E-2</v>
      </c>
    </row>
    <row r="489" spans="1:7" ht="15" customHeight="1" x14ac:dyDescent="0.35">
      <c r="A489" s="3">
        <v>44897</v>
      </c>
      <c r="B489" s="4">
        <v>148.47</v>
      </c>
      <c r="C489" s="4">
        <v>150.77000000000001</v>
      </c>
      <c r="D489" s="4">
        <v>148.08000000000001</v>
      </c>
      <c r="E489" s="4">
        <v>150.61000000000001</v>
      </c>
      <c r="F489" s="4">
        <v>150.61000000000001</v>
      </c>
      <c r="G489" s="13">
        <f t="shared" si="7"/>
        <v>9.1122278056952333E-3</v>
      </c>
    </row>
    <row r="490" spans="1:7" ht="15" customHeight="1" x14ac:dyDescent="0.35">
      <c r="A490" s="3">
        <v>44896</v>
      </c>
      <c r="B490" s="4">
        <v>149.53</v>
      </c>
      <c r="C490" s="4">
        <v>150.36000000000001</v>
      </c>
      <c r="D490" s="4">
        <v>148.57</v>
      </c>
      <c r="E490" s="4">
        <v>149.25</v>
      </c>
      <c r="F490" s="4">
        <v>149.25</v>
      </c>
      <c r="G490" s="13">
        <f t="shared" si="7"/>
        <v>6.033789219630156E-4</v>
      </c>
    </row>
    <row r="491" spans="1:7" ht="15" customHeight="1" x14ac:dyDescent="0.35">
      <c r="A491" s="3">
        <v>44895</v>
      </c>
      <c r="B491" s="4">
        <v>145.65</v>
      </c>
      <c r="C491" s="4">
        <v>149.16</v>
      </c>
      <c r="D491" s="4">
        <v>145.13</v>
      </c>
      <c r="E491" s="4">
        <v>149.16</v>
      </c>
      <c r="F491" s="4">
        <v>149.16</v>
      </c>
      <c r="G491" s="13">
        <f t="shared" si="7"/>
        <v>2.5295573274676981E-2</v>
      </c>
    </row>
    <row r="492" spans="1:7" ht="15" customHeight="1" x14ac:dyDescent="0.35">
      <c r="A492" s="3">
        <v>44894</v>
      </c>
      <c r="B492" s="4">
        <v>145.75</v>
      </c>
      <c r="C492" s="4">
        <v>146.06</v>
      </c>
      <c r="D492" s="4">
        <v>144.53</v>
      </c>
      <c r="E492" s="4">
        <v>145.47999999999999</v>
      </c>
      <c r="F492" s="4">
        <v>145.47999999999999</v>
      </c>
      <c r="G492" s="13">
        <f t="shared" si="7"/>
        <v>-7.6398362892224052E-3</v>
      </c>
    </row>
    <row r="493" spans="1:7" ht="15" customHeight="1" x14ac:dyDescent="0.35">
      <c r="A493" s="3">
        <v>44893</v>
      </c>
      <c r="B493" s="4">
        <v>146.38999999999999</v>
      </c>
      <c r="C493" s="4">
        <v>147.34</v>
      </c>
      <c r="D493" s="4">
        <v>146.13999999999999</v>
      </c>
      <c r="E493" s="4">
        <v>146.6</v>
      </c>
      <c r="F493" s="4">
        <v>146.6</v>
      </c>
      <c r="G493" s="13">
        <f t="shared" si="7"/>
        <v>-8.178844056706962E-4</v>
      </c>
    </row>
    <row r="494" spans="1:7" ht="15" customHeight="1" x14ac:dyDescent="0.35">
      <c r="A494" s="3">
        <v>44890</v>
      </c>
      <c r="B494" s="4">
        <v>146.79</v>
      </c>
      <c r="C494" s="4">
        <v>147.19999999999999</v>
      </c>
      <c r="D494" s="4">
        <v>146.4</v>
      </c>
      <c r="E494" s="4">
        <v>146.72</v>
      </c>
      <c r="F494" s="4">
        <v>146.72</v>
      </c>
      <c r="G494" s="13">
        <f t="shared" si="7"/>
        <v>1.8436326391260516E-3</v>
      </c>
    </row>
    <row r="495" spans="1:7" ht="15" customHeight="1" x14ac:dyDescent="0.35">
      <c r="A495" s="3">
        <v>44888</v>
      </c>
      <c r="B495" s="4">
        <v>145.9</v>
      </c>
      <c r="C495" s="4">
        <v>146.63</v>
      </c>
      <c r="D495" s="4">
        <v>145.57</v>
      </c>
      <c r="E495" s="4">
        <v>146.44999999999999</v>
      </c>
      <c r="F495" s="4">
        <v>146.44999999999999</v>
      </c>
      <c r="G495" s="13">
        <f t="shared" si="7"/>
        <v>5.699766515588409E-3</v>
      </c>
    </row>
    <row r="496" spans="1:7" ht="15" customHeight="1" x14ac:dyDescent="0.35">
      <c r="A496" s="3">
        <v>44887</v>
      </c>
      <c r="B496" s="4">
        <v>145.43</v>
      </c>
      <c r="C496" s="4">
        <v>145.79</v>
      </c>
      <c r="D496" s="4">
        <v>144.84</v>
      </c>
      <c r="E496" s="4">
        <v>145.62</v>
      </c>
      <c r="F496" s="4">
        <v>145.62</v>
      </c>
      <c r="G496" s="13">
        <f t="shared" si="7"/>
        <v>8.5884471533454014E-3</v>
      </c>
    </row>
    <row r="497" spans="1:7" ht="15" customHeight="1" x14ac:dyDescent="0.35">
      <c r="A497" s="3">
        <v>44886</v>
      </c>
      <c r="B497" s="4">
        <v>143.06</v>
      </c>
      <c r="C497" s="4">
        <v>145.19</v>
      </c>
      <c r="D497" s="4">
        <v>142.83000000000001</v>
      </c>
      <c r="E497" s="4">
        <v>144.38</v>
      </c>
      <c r="F497" s="4">
        <v>144.38</v>
      </c>
      <c r="G497" s="13">
        <f t="shared" si="7"/>
        <v>1.2695517991162253E-2</v>
      </c>
    </row>
    <row r="498" spans="1:7" ht="15" customHeight="1" x14ac:dyDescent="0.35">
      <c r="A498" s="3">
        <v>44883</v>
      </c>
      <c r="B498" s="4">
        <v>141.91999999999999</v>
      </c>
      <c r="C498" s="4">
        <v>142.76</v>
      </c>
      <c r="D498" s="4">
        <v>141.27000000000001</v>
      </c>
      <c r="E498" s="4">
        <v>142.57</v>
      </c>
      <c r="F498" s="4">
        <v>142.57</v>
      </c>
      <c r="G498" s="13">
        <f t="shared" si="7"/>
        <v>1.206786398807403E-2</v>
      </c>
    </row>
    <row r="499" spans="1:7" ht="15" customHeight="1" x14ac:dyDescent="0.35">
      <c r="A499" s="3">
        <v>44882</v>
      </c>
      <c r="B499" s="4">
        <v>141.11000000000001</v>
      </c>
      <c r="C499" s="4">
        <v>141.69</v>
      </c>
      <c r="D499" s="4">
        <v>139.86000000000001</v>
      </c>
      <c r="E499" s="4">
        <v>140.87</v>
      </c>
      <c r="F499" s="4">
        <v>140.87</v>
      </c>
      <c r="G499" s="13">
        <f t="shared" si="7"/>
        <v>-6.1379991533794592E-3</v>
      </c>
    </row>
    <row r="500" spans="1:7" ht="15" customHeight="1" x14ac:dyDescent="0.35">
      <c r="A500" s="3">
        <v>44881</v>
      </c>
      <c r="B500" s="4">
        <v>141.5</v>
      </c>
      <c r="C500" s="4">
        <v>142.91</v>
      </c>
      <c r="D500" s="4">
        <v>140.97999999999999</v>
      </c>
      <c r="E500" s="4">
        <v>141.74</v>
      </c>
      <c r="F500" s="4">
        <v>141.74</v>
      </c>
      <c r="G500" s="13">
        <f t="shared" si="7"/>
        <v>8.8974304220940988E-3</v>
      </c>
    </row>
    <row r="501" spans="1:7" ht="15" customHeight="1" x14ac:dyDescent="0.35">
      <c r="A501" s="3">
        <v>44880</v>
      </c>
      <c r="B501" s="4">
        <v>142.09</v>
      </c>
      <c r="C501" s="4">
        <v>143.19999999999999</v>
      </c>
      <c r="D501" s="4">
        <v>139.69999999999999</v>
      </c>
      <c r="E501" s="4">
        <v>140.49</v>
      </c>
      <c r="F501" s="4">
        <v>140.49</v>
      </c>
      <c r="G501" s="13">
        <f t="shared" si="7"/>
        <v>-3.4756703078449476E-3</v>
      </c>
    </row>
    <row r="502" spans="1:7" ht="15" customHeight="1" x14ac:dyDescent="0.35">
      <c r="A502" s="3">
        <v>44879</v>
      </c>
      <c r="B502" s="4">
        <v>140.51</v>
      </c>
      <c r="C502" s="4">
        <v>143.56</v>
      </c>
      <c r="D502" s="4">
        <v>140.26</v>
      </c>
      <c r="E502" s="4">
        <v>140.97999999999999</v>
      </c>
      <c r="F502" s="4">
        <v>140.97999999999999</v>
      </c>
      <c r="G502" s="13">
        <f t="shared" si="7"/>
        <v>7.0937078811030037E-5</v>
      </c>
    </row>
    <row r="503" spans="1:7" ht="15" customHeight="1" x14ac:dyDescent="0.35">
      <c r="A503" s="3">
        <v>44876</v>
      </c>
      <c r="B503" s="4">
        <v>141.19999999999999</v>
      </c>
      <c r="C503" s="4">
        <v>141.63</v>
      </c>
      <c r="D503" s="4">
        <v>139.11000000000001</v>
      </c>
      <c r="E503" s="4">
        <v>140.97</v>
      </c>
      <c r="F503" s="4">
        <v>140.97</v>
      </c>
      <c r="G503" s="13">
        <f t="shared" si="7"/>
        <v>-1.4874628134297207E-3</v>
      </c>
    </row>
    <row r="504" spans="1:7" ht="15" customHeight="1" x14ac:dyDescent="0.35">
      <c r="A504" s="3">
        <v>44875</v>
      </c>
      <c r="B504" s="4">
        <v>139.46</v>
      </c>
      <c r="C504" s="4">
        <v>141.63</v>
      </c>
      <c r="D504" s="4">
        <v>138.19999999999999</v>
      </c>
      <c r="E504" s="4">
        <v>141.18</v>
      </c>
      <c r="F504" s="4">
        <v>141.18</v>
      </c>
      <c r="G504" s="13">
        <f t="shared" si="7"/>
        <v>3.4437280187573395E-2</v>
      </c>
    </row>
    <row r="505" spans="1:7" ht="15" customHeight="1" x14ac:dyDescent="0.35">
      <c r="A505" s="3">
        <v>44874</v>
      </c>
      <c r="B505" s="4">
        <v>136.87</v>
      </c>
      <c r="C505" s="4">
        <v>137.97</v>
      </c>
      <c r="D505" s="4">
        <v>136.34</v>
      </c>
      <c r="E505" s="4">
        <v>136.47999999999999</v>
      </c>
      <c r="F505" s="4">
        <v>136.47999999999999</v>
      </c>
      <c r="G505" s="13">
        <f t="shared" si="7"/>
        <v>-2.4121043783350083E-3</v>
      </c>
    </row>
    <row r="506" spans="1:7" ht="15" customHeight="1" x14ac:dyDescent="0.35">
      <c r="A506" s="3">
        <v>44873</v>
      </c>
      <c r="B506" s="4">
        <v>136.82</v>
      </c>
      <c r="C506" s="4">
        <v>137.52000000000001</v>
      </c>
      <c r="D506" s="4">
        <v>135.80000000000001</v>
      </c>
      <c r="E506" s="4">
        <v>136.81</v>
      </c>
      <c r="F506" s="4">
        <v>136.81</v>
      </c>
      <c r="G506" s="13">
        <f t="shared" si="7"/>
        <v>2.2710622710622875E-3</v>
      </c>
    </row>
    <row r="507" spans="1:7" ht="15" customHeight="1" x14ac:dyDescent="0.35">
      <c r="A507" s="3">
        <v>44872</v>
      </c>
      <c r="B507" s="4">
        <v>135.35</v>
      </c>
      <c r="C507" s="4">
        <v>137.19</v>
      </c>
      <c r="D507" s="4">
        <v>135.06</v>
      </c>
      <c r="E507" s="4">
        <v>136.5</v>
      </c>
      <c r="F507" s="4">
        <v>136.5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46"/>
  <sheetViews>
    <sheetView zoomScale="78" zoomScaleNormal="70" workbookViewId="0">
      <pane ySplit="1" topLeftCell="A2" activePane="bottomLeft" state="frozen"/>
      <selection pane="bottomLeft" activeCell="H3" sqref="H3"/>
    </sheetView>
  </sheetViews>
  <sheetFormatPr defaultColWidth="8.6328125" defaultRowHeight="14.5" x14ac:dyDescent="0.35"/>
  <cols>
    <col min="1" max="1" width="13" customWidth="1"/>
    <col min="2" max="5" width="10" customWidth="1"/>
    <col min="6" max="6" width="12" customWidth="1"/>
    <col min="7" max="7" width="16" customWidth="1"/>
    <col min="8" max="8" width="12" customWidth="1"/>
    <col min="9" max="9" width="10" customWidth="1"/>
    <col min="10" max="11" width="15" customWidth="1"/>
    <col min="13" max="13" width="32" customWidth="1"/>
    <col min="14" max="14" width="22.453125" customWidth="1"/>
    <col min="15" max="15" width="42" customWidth="1"/>
    <col min="16" max="16" width="9.26953125" bestFit="1" customWidth="1"/>
    <col min="19" max="19" width="8.6328125" customWidth="1"/>
    <col min="20" max="20" width="10.36328125" bestFit="1" customWidth="1"/>
    <col min="21" max="21" width="6" bestFit="1" customWidth="1"/>
    <col min="22" max="22" width="7.7265625" bestFit="1" customWidth="1"/>
    <col min="23" max="23" width="7.81640625" bestFit="1" customWidth="1"/>
  </cols>
  <sheetData>
    <row r="1" spans="1:23" ht="27.7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93</v>
      </c>
      <c r="J1" s="1" t="s">
        <v>94</v>
      </c>
      <c r="K1" s="1" t="s">
        <v>13</v>
      </c>
      <c r="M1" s="16" t="s">
        <v>98</v>
      </c>
      <c r="N1" s="17"/>
      <c r="T1" s="15" t="s">
        <v>92</v>
      </c>
      <c r="U1" s="15" t="s">
        <v>93</v>
      </c>
      <c r="V1" s="15" t="s">
        <v>95</v>
      </c>
      <c r="W1" s="15" t="s">
        <v>96</v>
      </c>
    </row>
    <row r="2" spans="1:23" ht="15" customHeight="1" x14ac:dyDescent="0.35">
      <c r="A2" s="3">
        <v>45596</v>
      </c>
      <c r="B2" s="4">
        <v>173.24</v>
      </c>
      <c r="C2" s="4">
        <v>174.91</v>
      </c>
      <c r="D2" s="4">
        <v>165.09</v>
      </c>
      <c r="E2" s="4">
        <v>165.18</v>
      </c>
      <c r="F2" s="4">
        <v>165.18</v>
      </c>
      <c r="G2" s="13">
        <f>(F2-F3)/F3</f>
        <v>-4.6304849884526454E-2</v>
      </c>
      <c r="H2" s="6">
        <f>T2/100</f>
        <v>-0.01</v>
      </c>
      <c r="I2" s="7">
        <f>U2</f>
        <v>0.39</v>
      </c>
      <c r="J2" s="6">
        <f>U2/100</f>
        <v>3.9000000000000003E-3</v>
      </c>
      <c r="K2" s="13">
        <f>G2-J2</f>
        <v>-5.0204849884526455E-2</v>
      </c>
      <c r="T2">
        <v>-1</v>
      </c>
      <c r="U2">
        <v>0.39</v>
      </c>
      <c r="V2">
        <v>-0.99</v>
      </c>
      <c r="W2">
        <v>0.86</v>
      </c>
    </row>
    <row r="3" spans="1:23" ht="15" customHeight="1" x14ac:dyDescent="0.35">
      <c r="A3" s="3">
        <v>45565</v>
      </c>
      <c r="B3" s="4">
        <v>171.03</v>
      </c>
      <c r="C3" s="4">
        <v>177.94</v>
      </c>
      <c r="D3" s="4">
        <v>170.38</v>
      </c>
      <c r="E3" s="4">
        <v>173.2</v>
      </c>
      <c r="F3" s="4">
        <v>173.2</v>
      </c>
      <c r="G3" s="13">
        <f t="shared" ref="G3:G33" si="0">(F3-F4)/F4</f>
        <v>9.6770432552174233E-3</v>
      </c>
      <c r="H3" s="6">
        <f>T3/100</f>
        <v>1.72E-2</v>
      </c>
      <c r="I3" s="7">
        <f>U3</f>
        <v>0.4</v>
      </c>
      <c r="J3" s="6">
        <f>U3/100</f>
        <v>4.0000000000000001E-3</v>
      </c>
      <c r="K3" s="13">
        <f>G3-J3</f>
        <v>5.6770432552174233E-3</v>
      </c>
      <c r="M3" s="8" t="s">
        <v>14</v>
      </c>
      <c r="T3">
        <v>1.72</v>
      </c>
      <c r="U3">
        <v>0.4</v>
      </c>
      <c r="V3">
        <v>-0.13</v>
      </c>
      <c r="W3">
        <v>-2.76</v>
      </c>
    </row>
    <row r="4" spans="1:23" ht="68.25" customHeight="1" x14ac:dyDescent="0.35">
      <c r="A4" s="3">
        <v>45535</v>
      </c>
      <c r="B4" s="4">
        <v>160.88</v>
      </c>
      <c r="C4" s="4">
        <v>171.89</v>
      </c>
      <c r="D4" s="4">
        <v>160.68</v>
      </c>
      <c r="E4" s="4">
        <v>171.54</v>
      </c>
      <c r="F4" s="4">
        <v>171.54</v>
      </c>
      <c r="G4" s="13">
        <f t="shared" si="0"/>
        <v>6.7056481711868635E-2</v>
      </c>
      <c r="H4" s="6">
        <f>T4/100</f>
        <v>1.6E-2</v>
      </c>
      <c r="I4" s="7">
        <f>U4</f>
        <v>0.48</v>
      </c>
      <c r="J4" s="6">
        <f>U4/100</f>
        <v>4.7999999999999996E-3</v>
      </c>
      <c r="K4" s="13">
        <f>G4-J4</f>
        <v>6.2256481711868636E-2</v>
      </c>
      <c r="M4" s="2" t="s">
        <v>15</v>
      </c>
      <c r="N4" s="13">
        <f>AVERAGE(K2:K145)</f>
        <v>5.9196042738771989E-3</v>
      </c>
      <c r="O4" s="5" t="s">
        <v>16</v>
      </c>
      <c r="T4">
        <v>1.6</v>
      </c>
      <c r="U4">
        <v>0.48</v>
      </c>
      <c r="V4">
        <v>-3.49</v>
      </c>
      <c r="W4">
        <v>-1.1000000000000001</v>
      </c>
    </row>
    <row r="5" spans="1:23" ht="15" customHeight="1" x14ac:dyDescent="0.35">
      <c r="A5" s="3">
        <v>45504</v>
      </c>
      <c r="B5" s="4">
        <v>165.59</v>
      </c>
      <c r="C5" s="4">
        <v>170.92</v>
      </c>
      <c r="D5" s="4">
        <v>158.04</v>
      </c>
      <c r="E5" s="4">
        <v>160.76</v>
      </c>
      <c r="F5" s="4">
        <v>160.76</v>
      </c>
      <c r="G5" s="13">
        <f t="shared" si="0"/>
        <v>-2.5224351200582081E-2</v>
      </c>
      <c r="H5" s="6">
        <f>T5/100</f>
        <v>1.2199999999999999E-2</v>
      </c>
      <c r="I5" s="7">
        <f>U5</f>
        <v>0.45</v>
      </c>
      <c r="J5" s="6">
        <f>U5/100</f>
        <v>4.5000000000000005E-3</v>
      </c>
      <c r="K5" s="13">
        <f>G5-J5</f>
        <v>-2.9724351200582082E-2</v>
      </c>
      <c r="M5" s="2" t="s">
        <v>17</v>
      </c>
      <c r="N5" s="13">
        <f>STDEV(K2:K145)</f>
        <v>4.4359819699945902E-2</v>
      </c>
      <c r="O5" s="5" t="s">
        <v>18</v>
      </c>
      <c r="T5">
        <v>1.22</v>
      </c>
      <c r="U5">
        <v>0.45</v>
      </c>
      <c r="V5">
        <v>6.81</v>
      </c>
      <c r="W5">
        <v>5.62</v>
      </c>
    </row>
    <row r="6" spans="1:23" ht="15" customHeight="1" x14ac:dyDescent="0.35">
      <c r="A6" s="3">
        <v>45473</v>
      </c>
      <c r="B6" s="4">
        <v>163.93</v>
      </c>
      <c r="C6" s="4">
        <v>169.41</v>
      </c>
      <c r="D6" s="4">
        <v>163.63</v>
      </c>
      <c r="E6" s="4">
        <v>164.92</v>
      </c>
      <c r="F6" s="4">
        <v>164.92</v>
      </c>
      <c r="G6" s="13">
        <f t="shared" si="0"/>
        <v>2.3094688221708733E-3</v>
      </c>
      <c r="H6" s="6">
        <f>T6/100</f>
        <v>2.7999999999999997E-2</v>
      </c>
      <c r="I6" s="7">
        <f>U6</f>
        <v>0.41</v>
      </c>
      <c r="J6" s="6">
        <f>U6/100</f>
        <v>4.0999999999999995E-3</v>
      </c>
      <c r="K6" s="13">
        <f>G6-J6</f>
        <v>-1.7905311778291261E-3</v>
      </c>
      <c r="N6" s="14"/>
      <c r="T6">
        <v>2.8</v>
      </c>
      <c r="U6">
        <v>0.41</v>
      </c>
      <c r="V6">
        <v>-3</v>
      </c>
      <c r="W6">
        <v>-3.36</v>
      </c>
    </row>
    <row r="7" spans="1:23" ht="15" customHeight="1" x14ac:dyDescent="0.35">
      <c r="A7" s="3">
        <v>45443</v>
      </c>
      <c r="B7" s="4">
        <v>163.28</v>
      </c>
      <c r="C7" s="4">
        <v>168.54</v>
      </c>
      <c r="D7" s="4">
        <v>161.41999999999999</v>
      </c>
      <c r="E7" s="4">
        <v>164.54</v>
      </c>
      <c r="F7" s="4">
        <v>164.54</v>
      </c>
      <c r="G7" s="13">
        <f t="shared" si="0"/>
        <v>8.2107843137255113E-3</v>
      </c>
      <c r="H7" s="6">
        <f>T7/100</f>
        <v>4.3299999999999998E-2</v>
      </c>
      <c r="I7" s="7">
        <f>U7</f>
        <v>0.44</v>
      </c>
      <c r="J7" s="6">
        <f>U7/100</f>
        <v>4.4000000000000003E-3</v>
      </c>
      <c r="K7" s="13">
        <f>G7-J7</f>
        <v>3.8107843137255111E-3</v>
      </c>
      <c r="M7" s="8" t="s">
        <v>11</v>
      </c>
      <c r="N7" s="14"/>
      <c r="T7">
        <v>4.33</v>
      </c>
      <c r="U7">
        <v>0.44</v>
      </c>
      <c r="V7">
        <v>0.55000000000000004</v>
      </c>
      <c r="W7">
        <v>-1.31</v>
      </c>
    </row>
    <row r="8" spans="1:23" ht="54.75" customHeight="1" x14ac:dyDescent="0.35">
      <c r="A8" s="3">
        <v>45412</v>
      </c>
      <c r="B8" s="4">
        <v>161.78</v>
      </c>
      <c r="C8" s="4">
        <v>164.32</v>
      </c>
      <c r="D8" s="4">
        <v>153.52000000000001</v>
      </c>
      <c r="E8" s="4">
        <v>163.19999999999999</v>
      </c>
      <c r="F8" s="4">
        <v>163.19999999999999</v>
      </c>
      <c r="G8" s="13">
        <f>(F8-F9)/F9</f>
        <v>5.8551617873651074E-3</v>
      </c>
      <c r="H8" s="6">
        <f>T8/100</f>
        <v>-4.6500000000000007E-2</v>
      </c>
      <c r="I8" s="7">
        <f>U8</f>
        <v>0.47</v>
      </c>
      <c r="J8" s="6">
        <f>U8/100</f>
        <v>4.6999999999999993E-3</v>
      </c>
      <c r="K8" s="13">
        <f>G8-J8</f>
        <v>1.155161787365108E-3</v>
      </c>
      <c r="M8" s="2" t="s">
        <v>15</v>
      </c>
      <c r="N8" s="13">
        <f>AVERAGE(H2:H145)</f>
        <v>1.1027083333333337E-2</v>
      </c>
      <c r="O8" s="5" t="s">
        <v>19</v>
      </c>
      <c r="T8">
        <v>-4.6500000000000004</v>
      </c>
      <c r="U8">
        <v>0.47</v>
      </c>
      <c r="V8">
        <v>-2.37</v>
      </c>
      <c r="W8">
        <v>-0.45</v>
      </c>
    </row>
    <row r="9" spans="1:23" ht="41.25" customHeight="1" x14ac:dyDescent="0.35">
      <c r="A9" s="3">
        <v>45382</v>
      </c>
      <c r="B9" s="4">
        <v>158.05000000000001</v>
      </c>
      <c r="C9" s="4">
        <v>163.13999999999999</v>
      </c>
      <c r="D9" s="4">
        <v>157.61000000000001</v>
      </c>
      <c r="E9" s="4">
        <v>162.25</v>
      </c>
      <c r="F9" s="4">
        <v>162.25</v>
      </c>
      <c r="G9" s="13">
        <f t="shared" si="0"/>
        <v>2.0825468730338508E-2</v>
      </c>
      <c r="H9" s="6">
        <f>T9/100</f>
        <v>2.8399999999999998E-2</v>
      </c>
      <c r="I9" s="7">
        <f>U9</f>
        <v>0.43</v>
      </c>
      <c r="J9" s="6">
        <f>U9/100</f>
        <v>4.3E-3</v>
      </c>
      <c r="K9" s="13">
        <f>G9-J9</f>
        <v>1.6525468730338506E-2</v>
      </c>
      <c r="M9" s="2" t="s">
        <v>17</v>
      </c>
      <c r="N9" s="13">
        <f>STDEV(H2:H145)</f>
        <v>4.2884405072550244E-2</v>
      </c>
      <c r="O9" s="5" t="s">
        <v>20</v>
      </c>
      <c r="T9">
        <v>2.84</v>
      </c>
      <c r="U9">
        <v>0.43</v>
      </c>
      <c r="V9">
        <v>-2.5</v>
      </c>
      <c r="W9">
        <v>4.16</v>
      </c>
    </row>
    <row r="10" spans="1:23" ht="15" customHeight="1" x14ac:dyDescent="0.35">
      <c r="A10" s="3">
        <v>45351</v>
      </c>
      <c r="B10" s="4">
        <v>156.77000000000001</v>
      </c>
      <c r="C10" s="4">
        <v>161.74</v>
      </c>
      <c r="D10" s="4">
        <v>154.91</v>
      </c>
      <c r="E10" s="4">
        <v>158.94</v>
      </c>
      <c r="F10" s="4">
        <v>158.94</v>
      </c>
      <c r="G10" s="13">
        <f t="shared" si="0"/>
        <v>1.1454753722795034E-2</v>
      </c>
      <c r="H10" s="6">
        <f>T10/100</f>
        <v>5.0700000000000002E-2</v>
      </c>
      <c r="I10" s="7">
        <f>U10</f>
        <v>0.42</v>
      </c>
      <c r="J10" s="6">
        <f>U10/100</f>
        <v>4.1999999999999997E-3</v>
      </c>
      <c r="K10" s="13">
        <f>G10-J10</f>
        <v>7.254753722795034E-3</v>
      </c>
      <c r="N10" s="14"/>
      <c r="T10">
        <v>5.07</v>
      </c>
      <c r="U10">
        <v>0.42</v>
      </c>
      <c r="V10">
        <v>-0.24</v>
      </c>
      <c r="W10">
        <v>-3.43</v>
      </c>
    </row>
    <row r="11" spans="1:23" ht="27.75" customHeight="1" x14ac:dyDescent="0.35">
      <c r="A11" s="3">
        <v>45322</v>
      </c>
      <c r="B11" s="4">
        <v>146.36000000000001</v>
      </c>
      <c r="C11" s="4">
        <v>158.5</v>
      </c>
      <c r="D11" s="4">
        <v>146.28</v>
      </c>
      <c r="E11" s="4">
        <v>157.13999999999999</v>
      </c>
      <c r="F11" s="4">
        <v>157.13999999999999</v>
      </c>
      <c r="G11" s="13">
        <f t="shared" si="0"/>
        <v>7.23351985805923E-2</v>
      </c>
      <c r="H11" s="6">
        <f>T11/100</f>
        <v>7.3000000000000001E-3</v>
      </c>
      <c r="I11" s="7">
        <f>U11</f>
        <v>0.47</v>
      </c>
      <c r="J11" s="6">
        <f>U11/100</f>
        <v>4.6999999999999993E-3</v>
      </c>
      <c r="K11" s="13">
        <f>G11-J11</f>
        <v>6.7635198580592304E-2</v>
      </c>
      <c r="M11" s="2" t="s">
        <v>21</v>
      </c>
      <c r="N11" s="14"/>
      <c r="T11">
        <v>0.73</v>
      </c>
      <c r="U11">
        <v>0.47</v>
      </c>
      <c r="V11">
        <v>-5.07</v>
      </c>
      <c r="W11">
        <v>-2.38</v>
      </c>
    </row>
    <row r="12" spans="1:23" ht="15" customHeight="1" x14ac:dyDescent="0.35">
      <c r="A12" s="3">
        <v>45291</v>
      </c>
      <c r="B12" s="4">
        <v>153.33000000000001</v>
      </c>
      <c r="C12" s="4">
        <v>153.49</v>
      </c>
      <c r="D12" s="4">
        <v>142.5</v>
      </c>
      <c r="E12" s="4">
        <v>146.54</v>
      </c>
      <c r="F12" s="4">
        <v>146.54</v>
      </c>
      <c r="G12" s="13">
        <f t="shared" si="0"/>
        <v>-4.5466388744137685E-2</v>
      </c>
      <c r="H12" s="6">
        <f>T12/100</f>
        <v>4.8499999999999995E-2</v>
      </c>
      <c r="I12" s="7">
        <f>U12</f>
        <v>0.43</v>
      </c>
      <c r="J12" s="6">
        <f>U12/100</f>
        <v>4.3E-3</v>
      </c>
      <c r="K12" s="13">
        <f>G12-J12</f>
        <v>-4.9766388744137684E-2</v>
      </c>
      <c r="M12" s="9" t="s">
        <v>22</v>
      </c>
      <c r="N12" s="13">
        <f>AVERAGE(K2:K145)</f>
        <v>5.9196042738771989E-3</v>
      </c>
      <c r="O12" s="9" t="s">
        <v>23</v>
      </c>
      <c r="P12" s="13">
        <f>AVERAGE(H2:H145)</f>
        <v>1.1027083333333337E-2</v>
      </c>
      <c r="T12">
        <v>4.8499999999999996</v>
      </c>
      <c r="U12">
        <v>0.43</v>
      </c>
      <c r="V12">
        <v>6.3</v>
      </c>
      <c r="W12">
        <v>4.8899999999999997</v>
      </c>
    </row>
    <row r="13" spans="1:23" ht="43.5" x14ac:dyDescent="0.35">
      <c r="A13" s="3">
        <v>45260</v>
      </c>
      <c r="B13" s="4">
        <v>150.68</v>
      </c>
      <c r="C13" s="4">
        <v>153.63</v>
      </c>
      <c r="D13" s="4">
        <v>148.83000000000001</v>
      </c>
      <c r="E13" s="4">
        <v>153.52000000000001</v>
      </c>
      <c r="F13" s="4">
        <v>153.52000000000001</v>
      </c>
      <c r="G13" s="13">
        <f t="shared" si="0"/>
        <v>2.3262014263813965E-2</v>
      </c>
      <c r="H13" s="6">
        <f>T13/100</f>
        <v>8.8800000000000004E-2</v>
      </c>
      <c r="I13" s="7">
        <f>U13</f>
        <v>0.44</v>
      </c>
      <c r="J13" s="6">
        <f>U13/100</f>
        <v>4.4000000000000003E-3</v>
      </c>
      <c r="K13" s="13">
        <f>G13-J13</f>
        <v>1.8862014263813964E-2</v>
      </c>
      <c r="M13" s="5" t="s">
        <v>97</v>
      </c>
      <c r="N13" s="14"/>
      <c r="T13">
        <v>8.8800000000000008</v>
      </c>
      <c r="U13">
        <v>0.44</v>
      </c>
      <c r="V13">
        <v>-0.1</v>
      </c>
      <c r="W13">
        <v>1.67</v>
      </c>
    </row>
    <row r="14" spans="1:23" ht="15" customHeight="1" thickBot="1" x14ac:dyDescent="0.4">
      <c r="A14" s="3">
        <v>45230</v>
      </c>
      <c r="B14" s="4">
        <v>144.78</v>
      </c>
      <c r="C14" s="4">
        <v>151.38</v>
      </c>
      <c r="D14" s="4">
        <v>141.44999999999999</v>
      </c>
      <c r="E14" s="4">
        <v>150.03</v>
      </c>
      <c r="F14" s="4">
        <v>150.03</v>
      </c>
      <c r="G14" s="13">
        <f t="shared" si="0"/>
        <v>2.8589058000822617E-2</v>
      </c>
      <c r="H14" s="6">
        <f>T14/100</f>
        <v>-3.15E-2</v>
      </c>
      <c r="I14" s="7">
        <f>U14</f>
        <v>0.47</v>
      </c>
      <c r="J14" s="6">
        <f>U14/100</f>
        <v>4.6999999999999993E-3</v>
      </c>
      <c r="K14" s="13">
        <f>G14-J14</f>
        <v>2.3889058000822617E-2</v>
      </c>
      <c r="M14" s="2"/>
      <c r="N14" s="13"/>
      <c r="T14">
        <v>-3.15</v>
      </c>
      <c r="U14">
        <v>0.47</v>
      </c>
      <c r="V14">
        <v>-3.86</v>
      </c>
      <c r="W14">
        <v>0.2</v>
      </c>
    </row>
    <row r="15" spans="1:23" ht="27.75" customHeight="1" thickBot="1" x14ac:dyDescent="0.4">
      <c r="A15" s="3">
        <v>45199</v>
      </c>
      <c r="B15" s="4">
        <v>154.9</v>
      </c>
      <c r="C15" s="4">
        <v>155.32</v>
      </c>
      <c r="D15" s="4">
        <v>144.82</v>
      </c>
      <c r="E15" s="4">
        <v>145.86000000000001</v>
      </c>
      <c r="F15" s="4">
        <v>145.86000000000001</v>
      </c>
      <c r="G15" s="13">
        <f t="shared" si="0"/>
        <v>-5.4943630944667553E-2</v>
      </c>
      <c r="H15" s="6">
        <f>T15/100</f>
        <v>-5.2300000000000006E-2</v>
      </c>
      <c r="I15" s="7">
        <f>U15</f>
        <v>0.43</v>
      </c>
      <c r="J15" s="6">
        <f>U15/100</f>
        <v>4.3E-3</v>
      </c>
      <c r="K15" s="13">
        <f>G15-J15</f>
        <v>-5.9243630944667551E-2</v>
      </c>
      <c r="M15" s="16" t="s">
        <v>100</v>
      </c>
      <c r="N15" s="17"/>
      <c r="T15">
        <v>-5.23</v>
      </c>
      <c r="U15">
        <v>0.43</v>
      </c>
      <c r="V15">
        <v>-2.5099999999999998</v>
      </c>
      <c r="W15">
        <v>1.49</v>
      </c>
    </row>
    <row r="16" spans="1:23" ht="29" x14ac:dyDescent="0.35">
      <c r="A16" s="3">
        <v>45169</v>
      </c>
      <c r="B16" s="4">
        <v>155.88</v>
      </c>
      <c r="C16" s="4">
        <v>158.38</v>
      </c>
      <c r="D16" s="4">
        <v>150.93</v>
      </c>
      <c r="E16" s="4">
        <v>154.34</v>
      </c>
      <c r="F16" s="4">
        <v>154.34</v>
      </c>
      <c r="G16" s="13">
        <f t="shared" si="0"/>
        <v>-1.253998720409474E-2</v>
      </c>
      <c r="H16" s="6">
        <f>T16/100</f>
        <v>-2.3599999999999999E-2</v>
      </c>
      <c r="I16" s="7">
        <f>U16</f>
        <v>0.45</v>
      </c>
      <c r="J16" s="6">
        <f>U16/100</f>
        <v>4.5000000000000005E-3</v>
      </c>
      <c r="K16" s="13">
        <f>G16-J16</f>
        <v>-1.7039987204094741E-2</v>
      </c>
      <c r="M16" s="2" t="s">
        <v>24</v>
      </c>
      <c r="N16" s="13">
        <f>CORREL(K2:K145,H2:H145)</f>
        <v>0.36405514113135634</v>
      </c>
      <c r="O16" s="5" t="s">
        <v>101</v>
      </c>
      <c r="T16">
        <v>-2.36</v>
      </c>
      <c r="U16">
        <v>0.45</v>
      </c>
      <c r="V16">
        <v>-3.14</v>
      </c>
      <c r="W16">
        <v>-1.1499999999999999</v>
      </c>
    </row>
    <row r="17" spans="1:23" ht="27.75" customHeight="1" thickBot="1" x14ac:dyDescent="0.4">
      <c r="A17" s="3">
        <v>45138</v>
      </c>
      <c r="B17" s="4">
        <v>151.47999999999999</v>
      </c>
      <c r="C17" s="4">
        <v>157.68</v>
      </c>
      <c r="D17" s="4">
        <v>146.96</v>
      </c>
      <c r="E17" s="4">
        <v>156.30000000000001</v>
      </c>
      <c r="F17" s="4">
        <v>156.30000000000001</v>
      </c>
      <c r="G17" s="13">
        <f t="shared" si="0"/>
        <v>3.0051403716884157E-2</v>
      </c>
      <c r="H17" s="6">
        <f>T17/100</f>
        <v>3.2099999999999997E-2</v>
      </c>
      <c r="I17" s="7">
        <f>U17</f>
        <v>0.45</v>
      </c>
      <c r="J17" s="6">
        <f>U17/100</f>
        <v>4.5000000000000005E-3</v>
      </c>
      <c r="K17" s="13">
        <f>G17-J17</f>
        <v>2.5551403716884157E-2</v>
      </c>
      <c r="M17" s="2"/>
      <c r="N17" s="14"/>
      <c r="T17">
        <v>3.21</v>
      </c>
      <c r="U17">
        <v>0.45</v>
      </c>
      <c r="V17">
        <v>2.0499999999999998</v>
      </c>
      <c r="W17">
        <v>4.0599999999999996</v>
      </c>
    </row>
    <row r="18" spans="1:23" ht="27.75" customHeight="1" thickBot="1" x14ac:dyDescent="0.4">
      <c r="A18" s="3">
        <v>45107</v>
      </c>
      <c r="B18" s="4">
        <v>143.25</v>
      </c>
      <c r="C18" s="4">
        <v>152.07</v>
      </c>
      <c r="D18" s="4">
        <v>142.44999999999999</v>
      </c>
      <c r="E18" s="4">
        <v>151.74</v>
      </c>
      <c r="F18" s="4">
        <v>151.74</v>
      </c>
      <c r="G18" s="13">
        <f t="shared" si="0"/>
        <v>6.4842105263157965E-2</v>
      </c>
      <c r="H18" s="6">
        <f>T18/100</f>
        <v>6.4600000000000005E-2</v>
      </c>
      <c r="I18" s="7">
        <f>U18</f>
        <v>0.4</v>
      </c>
      <c r="J18" s="6">
        <f>U18/100</f>
        <v>4.0000000000000001E-3</v>
      </c>
      <c r="K18" s="13">
        <f>G18-J18</f>
        <v>6.0842105263157961E-2</v>
      </c>
      <c r="M18" s="16" t="s">
        <v>99</v>
      </c>
      <c r="N18" s="17"/>
      <c r="T18">
        <v>6.46</v>
      </c>
      <c r="U18">
        <v>0.4</v>
      </c>
      <c r="V18">
        <v>1.49</v>
      </c>
      <c r="W18">
        <v>-0.13</v>
      </c>
    </row>
    <row r="19" spans="1:23" ht="29" x14ac:dyDescent="0.35">
      <c r="A19" s="3">
        <v>45077</v>
      </c>
      <c r="B19" s="4">
        <v>156.03</v>
      </c>
      <c r="C19" s="4">
        <v>157.57</v>
      </c>
      <c r="D19" s="4">
        <v>141.9</v>
      </c>
      <c r="E19" s="4">
        <v>142.5</v>
      </c>
      <c r="F19" s="4">
        <v>142.5</v>
      </c>
      <c r="G19" s="13">
        <f t="shared" si="0"/>
        <v>-8.8758153216523819E-2</v>
      </c>
      <c r="H19" s="6">
        <f>T19/100</f>
        <v>3.4000000000000002E-3</v>
      </c>
      <c r="I19" s="7">
        <f>U19</f>
        <v>0.36</v>
      </c>
      <c r="J19" s="6">
        <f>U19/100</f>
        <v>3.5999999999999999E-3</v>
      </c>
      <c r="K19" s="13">
        <f>G19-J19</f>
        <v>-9.2358153216523825E-2</v>
      </c>
      <c r="M19" s="9" t="s">
        <v>25</v>
      </c>
      <c r="N19" s="13">
        <f>'CAPM Regression Output'!B16</f>
        <v>1.7670223627880401E-3</v>
      </c>
      <c r="O19" s="5" t="s">
        <v>103</v>
      </c>
      <c r="T19">
        <v>0.34</v>
      </c>
      <c r="U19">
        <v>0.36</v>
      </c>
      <c r="V19">
        <v>1.6</v>
      </c>
      <c r="W19">
        <v>-7.79</v>
      </c>
    </row>
    <row r="20" spans="1:23" ht="15" customHeight="1" x14ac:dyDescent="0.35">
      <c r="A20" s="3">
        <v>45046</v>
      </c>
      <c r="B20" s="4">
        <v>148.43</v>
      </c>
      <c r="C20" s="4">
        <v>158.11000000000001</v>
      </c>
      <c r="D20" s="4">
        <v>147.09</v>
      </c>
      <c r="E20" s="4">
        <v>156.38</v>
      </c>
      <c r="F20" s="4">
        <v>156.38</v>
      </c>
      <c r="G20" s="13">
        <f t="shared" si="0"/>
        <v>5.1718340170825189E-2</v>
      </c>
      <c r="H20" s="6">
        <f>T20/100</f>
        <v>6.1999999999999998E-3</v>
      </c>
      <c r="I20" s="7">
        <f>U20</f>
        <v>0.35</v>
      </c>
      <c r="J20" s="6">
        <f>U20/100</f>
        <v>3.4999999999999996E-3</v>
      </c>
      <c r="K20" s="13">
        <f>G20-J20</f>
        <v>4.8218340170825186E-2</v>
      </c>
      <c r="M20" s="9" t="s">
        <v>26</v>
      </c>
      <c r="N20" s="13">
        <f>'CAPM Regression Output'!B17</f>
        <v>0.37658026021590701</v>
      </c>
      <c r="O20" s="5" t="s">
        <v>27</v>
      </c>
      <c r="T20">
        <v>0.62</v>
      </c>
      <c r="U20">
        <v>0.35</v>
      </c>
      <c r="V20">
        <v>-3.37</v>
      </c>
      <c r="W20">
        <v>-0.12</v>
      </c>
    </row>
    <row r="21" spans="1:23" ht="29" x14ac:dyDescent="0.35">
      <c r="A21" s="3">
        <v>45016</v>
      </c>
      <c r="B21" s="4">
        <v>138.05000000000001</v>
      </c>
      <c r="C21" s="4">
        <v>148.69</v>
      </c>
      <c r="D21" s="4">
        <v>136.1</v>
      </c>
      <c r="E21" s="4">
        <v>148.69</v>
      </c>
      <c r="F21" s="4">
        <v>148.69</v>
      </c>
      <c r="G21" s="13">
        <f t="shared" si="0"/>
        <v>8.0910148298924067E-2</v>
      </c>
      <c r="H21" s="6">
        <f>T21/100</f>
        <v>2.4799999999999999E-2</v>
      </c>
      <c r="I21" s="7">
        <f>U21</f>
        <v>0.36</v>
      </c>
      <c r="J21" s="6">
        <f>U21/100</f>
        <v>3.5999999999999999E-3</v>
      </c>
      <c r="K21" s="13">
        <f>G21-J21</f>
        <v>7.7310148298924061E-2</v>
      </c>
      <c r="M21" s="5" t="s">
        <v>28</v>
      </c>
      <c r="N21" s="14"/>
      <c r="T21">
        <v>2.48</v>
      </c>
      <c r="U21">
        <v>0.36</v>
      </c>
      <c r="V21">
        <v>-5.48</v>
      </c>
      <c r="W21">
        <v>-9.0500000000000007</v>
      </c>
    </row>
    <row r="22" spans="1:23" ht="15" thickBot="1" x14ac:dyDescent="0.4">
      <c r="A22" s="3">
        <v>44985</v>
      </c>
      <c r="B22" s="4">
        <v>142.08000000000001</v>
      </c>
      <c r="C22" s="4">
        <v>144.1</v>
      </c>
      <c r="D22" s="4">
        <v>135.83000000000001</v>
      </c>
      <c r="E22" s="4">
        <v>137.56</v>
      </c>
      <c r="F22" s="4">
        <v>137.56</v>
      </c>
      <c r="G22" s="13">
        <f t="shared" si="0"/>
        <v>-3.3853069251299293E-2</v>
      </c>
      <c r="H22" s="6">
        <f>T22/100</f>
        <v>-2.5699999999999997E-2</v>
      </c>
      <c r="I22" s="7">
        <f>U22</f>
        <v>0.34</v>
      </c>
      <c r="J22" s="6">
        <f>U22/100</f>
        <v>3.4000000000000002E-3</v>
      </c>
      <c r="K22" s="13">
        <f>G22-J22</f>
        <v>-3.7253069251299294E-2</v>
      </c>
      <c r="M22" s="9"/>
      <c r="N22" s="14"/>
      <c r="T22">
        <v>-2.57</v>
      </c>
      <c r="U22">
        <v>0.34</v>
      </c>
      <c r="V22">
        <v>1.05</v>
      </c>
      <c r="W22">
        <v>-0.8</v>
      </c>
    </row>
    <row r="23" spans="1:23" ht="29.5" customHeight="1" thickBot="1" x14ac:dyDescent="0.4">
      <c r="A23" s="3">
        <v>44957</v>
      </c>
      <c r="B23" s="4">
        <v>150.94999999999999</v>
      </c>
      <c r="C23" s="4">
        <v>154.80000000000001</v>
      </c>
      <c r="D23" s="4">
        <v>138.72999999999999</v>
      </c>
      <c r="E23" s="4">
        <v>142.38</v>
      </c>
      <c r="F23" s="4">
        <v>142.38</v>
      </c>
      <c r="G23" s="13">
        <f t="shared" si="0"/>
        <v>-6.0570071258907406E-2</v>
      </c>
      <c r="H23" s="6">
        <f>T23/100</f>
        <v>6.6100000000000006E-2</v>
      </c>
      <c r="I23" s="7">
        <f>U23</f>
        <v>0.35</v>
      </c>
      <c r="J23" s="6">
        <f>U23/100</f>
        <v>3.4999999999999996E-3</v>
      </c>
      <c r="K23" s="13">
        <f>G23-J23</f>
        <v>-6.4070071258907402E-2</v>
      </c>
      <c r="M23" s="16" t="s">
        <v>29</v>
      </c>
      <c r="N23" s="17"/>
      <c r="T23">
        <v>6.61</v>
      </c>
      <c r="U23">
        <v>0.35</v>
      </c>
      <c r="V23">
        <v>5.01</v>
      </c>
      <c r="W23">
        <v>-3.94</v>
      </c>
    </row>
    <row r="24" spans="1:23" ht="15" customHeight="1" x14ac:dyDescent="0.35">
      <c r="A24" s="3">
        <v>44926</v>
      </c>
      <c r="B24" s="4">
        <v>149.53</v>
      </c>
      <c r="C24" s="4">
        <v>154.65</v>
      </c>
      <c r="D24" s="4">
        <v>148.08000000000001</v>
      </c>
      <c r="E24" s="4">
        <v>151.56</v>
      </c>
      <c r="F24" s="4">
        <v>151.56</v>
      </c>
      <c r="G24" s="13">
        <f t="shared" si="0"/>
        <v>1.6090104585679846E-2</v>
      </c>
      <c r="H24" s="6">
        <f>T24/100</f>
        <v>-6.3799999999999996E-2</v>
      </c>
      <c r="I24" s="7">
        <f>U24</f>
        <v>0.33</v>
      </c>
      <c r="J24" s="6">
        <f>U24/100</f>
        <v>3.3E-3</v>
      </c>
      <c r="K24" s="13">
        <f>G24-J24</f>
        <v>1.2790104585679845E-2</v>
      </c>
      <c r="M24" s="9" t="s">
        <v>30</v>
      </c>
      <c r="N24" s="13">
        <f>'CAPM Regression Output'!D17</f>
        <v>4.6578515913312097</v>
      </c>
      <c r="O24" s="9" t="s">
        <v>31</v>
      </c>
      <c r="P24" s="13">
        <f>_xlfn.T.INV.2T(0.05,142)</f>
        <v>1.9768109936328579</v>
      </c>
      <c r="T24">
        <v>-6.38</v>
      </c>
      <c r="U24">
        <v>0.33</v>
      </c>
      <c r="V24">
        <v>-0.76</v>
      </c>
      <c r="W24">
        <v>1.34</v>
      </c>
    </row>
    <row r="25" spans="1:23" ht="15" customHeight="1" x14ac:dyDescent="0.35">
      <c r="A25" s="3">
        <v>44895</v>
      </c>
      <c r="B25" s="4">
        <v>134.69999999999999</v>
      </c>
      <c r="C25" s="4">
        <v>149.16</v>
      </c>
      <c r="D25" s="4">
        <v>130.96</v>
      </c>
      <c r="E25" s="4">
        <v>149.16</v>
      </c>
      <c r="F25" s="4">
        <v>149.16</v>
      </c>
      <c r="G25" s="13">
        <f t="shared" si="0"/>
        <v>0.10759634662508362</v>
      </c>
      <c r="H25" s="6">
        <f>T25/100</f>
        <v>4.6500000000000007E-2</v>
      </c>
      <c r="I25" s="7">
        <f>U25</f>
        <v>0.28999999999999998</v>
      </c>
      <c r="J25" s="6">
        <f>U25/100</f>
        <v>2.8999999999999998E-3</v>
      </c>
      <c r="K25" s="13">
        <f>G25-J25</f>
        <v>0.10469634662508362</v>
      </c>
      <c r="M25" s="9" t="s">
        <v>32</v>
      </c>
      <c r="N25" s="13">
        <f>'CAPM Regression Output'!E17</f>
        <v>7.2745791570571996E-6</v>
      </c>
      <c r="O25" s="10" t="s">
        <v>104</v>
      </c>
      <c r="T25">
        <v>4.6500000000000004</v>
      </c>
      <c r="U25">
        <v>0.28999999999999998</v>
      </c>
      <c r="V25">
        <v>-3.57</v>
      </c>
      <c r="W25">
        <v>1.48</v>
      </c>
    </row>
    <row r="26" spans="1:23" ht="29" x14ac:dyDescent="0.35">
      <c r="A26" s="3">
        <v>44865</v>
      </c>
      <c r="B26" s="4">
        <v>127.25</v>
      </c>
      <c r="C26" s="4">
        <v>135.66999999999999</v>
      </c>
      <c r="D26" s="4">
        <v>122.18</v>
      </c>
      <c r="E26" s="4">
        <v>134.66999999999999</v>
      </c>
      <c r="F26" s="4">
        <v>134.66999999999999</v>
      </c>
      <c r="G26" s="13">
        <f t="shared" si="0"/>
        <v>6.66930693069306E-2</v>
      </c>
      <c r="H26" s="6">
        <f>T26/100</f>
        <v>7.85E-2</v>
      </c>
      <c r="I26" s="7">
        <f>U26</f>
        <v>0.23</v>
      </c>
      <c r="J26" s="6">
        <f>U26/100</f>
        <v>2.3E-3</v>
      </c>
      <c r="K26" s="13">
        <f>G26-J26</f>
        <v>6.4393069306930603E-2</v>
      </c>
      <c r="M26" s="5" t="s">
        <v>33</v>
      </c>
      <c r="N26" s="14"/>
      <c r="T26">
        <v>7.85</v>
      </c>
      <c r="U26">
        <v>0.23</v>
      </c>
      <c r="V26">
        <v>0.01</v>
      </c>
      <c r="W26">
        <v>7.97</v>
      </c>
    </row>
    <row r="27" spans="1:23" ht="15" thickBot="1" x14ac:dyDescent="0.4">
      <c r="A27" s="3">
        <v>44834</v>
      </c>
      <c r="B27" s="4">
        <v>137.83000000000001</v>
      </c>
      <c r="C27" s="4">
        <v>141.80000000000001</v>
      </c>
      <c r="D27" s="4">
        <v>126.21</v>
      </c>
      <c r="E27" s="4">
        <v>126.25</v>
      </c>
      <c r="F27" s="4">
        <v>126.25</v>
      </c>
      <c r="G27" s="13">
        <f t="shared" si="0"/>
        <v>-8.474699144555603E-2</v>
      </c>
      <c r="H27" s="6">
        <f>T27/100</f>
        <v>-9.3399999999999997E-2</v>
      </c>
      <c r="I27" s="7">
        <f>U27</f>
        <v>0.19</v>
      </c>
      <c r="J27" s="6">
        <f>U27/100</f>
        <v>1.9E-3</v>
      </c>
      <c r="K27" s="13">
        <f>G27-J27</f>
        <v>-8.6646991445556029E-2</v>
      </c>
      <c r="M27" s="10"/>
      <c r="N27" s="14"/>
      <c r="T27">
        <v>-9.34</v>
      </c>
      <c r="U27">
        <v>0.19</v>
      </c>
      <c r="V27">
        <v>-0.76</v>
      </c>
      <c r="W27">
        <v>0.03</v>
      </c>
    </row>
    <row r="28" spans="1:23" ht="29" customHeight="1" thickBot="1" x14ac:dyDescent="0.4">
      <c r="A28" s="3">
        <v>44804</v>
      </c>
      <c r="B28" s="4">
        <v>138.34</v>
      </c>
      <c r="C28" s="4">
        <v>150.63</v>
      </c>
      <c r="D28" s="4">
        <v>137.86000000000001</v>
      </c>
      <c r="E28" s="4">
        <v>137.94</v>
      </c>
      <c r="F28" s="4">
        <v>137.94</v>
      </c>
      <c r="G28" s="13">
        <f t="shared" si="0"/>
        <v>-6.982938593333805E-3</v>
      </c>
      <c r="H28" s="6">
        <f>T28/100</f>
        <v>-3.7699999999999997E-2</v>
      </c>
      <c r="I28" s="7">
        <f>U28</f>
        <v>0.19</v>
      </c>
      <c r="J28" s="6">
        <f>U28/100</f>
        <v>1.9E-3</v>
      </c>
      <c r="K28" s="13">
        <f>G28-J28</f>
        <v>-8.8829385933338056E-3</v>
      </c>
      <c r="M28" s="16" t="s">
        <v>34</v>
      </c>
      <c r="N28" s="17"/>
      <c r="T28">
        <v>-3.77</v>
      </c>
      <c r="U28">
        <v>0.19</v>
      </c>
      <c r="V28">
        <v>1.41</v>
      </c>
      <c r="W28">
        <v>0.18</v>
      </c>
    </row>
    <row r="29" spans="1:23" ht="15" customHeight="1" x14ac:dyDescent="0.35">
      <c r="A29" s="3">
        <v>44773</v>
      </c>
      <c r="B29" s="4">
        <v>144.24</v>
      </c>
      <c r="C29" s="4">
        <v>148.61000000000001</v>
      </c>
      <c r="D29" s="4">
        <v>138.22999999999999</v>
      </c>
      <c r="E29" s="4">
        <v>138.91</v>
      </c>
      <c r="F29" s="4">
        <v>138.91</v>
      </c>
      <c r="G29" s="13">
        <f t="shared" si="0"/>
        <v>-3.3938382363168478E-2</v>
      </c>
      <c r="H29" s="6">
        <f>T29/100</f>
        <v>9.5700000000000007E-2</v>
      </c>
      <c r="I29" s="7">
        <f>U29</f>
        <v>0.08</v>
      </c>
      <c r="J29" s="6">
        <f>U29/100</f>
        <v>8.0000000000000004E-4</v>
      </c>
      <c r="K29" s="13">
        <f>G29-J29</f>
        <v>-3.473838236316848E-2</v>
      </c>
      <c r="M29" s="9" t="s">
        <v>35</v>
      </c>
      <c r="N29" s="13">
        <f>('CAPM Regression Output'!B17-1)/'CAPM Regression Output'!C17</f>
        <v>-7.7109634619610139</v>
      </c>
      <c r="O29" s="9" t="s">
        <v>36</v>
      </c>
      <c r="P29" s="13">
        <f>_xlfn.T.INV(0.99,142)</f>
        <v>2.3528949818907368</v>
      </c>
      <c r="T29">
        <v>9.57</v>
      </c>
      <c r="U29">
        <v>0.08</v>
      </c>
      <c r="V29">
        <v>2.84</v>
      </c>
      <c r="W29">
        <v>-4.1500000000000004</v>
      </c>
    </row>
    <row r="30" spans="1:23" ht="15" customHeight="1" x14ac:dyDescent="0.35">
      <c r="A30" s="3">
        <v>44742</v>
      </c>
      <c r="B30" s="4">
        <v>148</v>
      </c>
      <c r="C30" s="4">
        <v>148.12</v>
      </c>
      <c r="D30" s="4">
        <v>129.5</v>
      </c>
      <c r="E30" s="4">
        <v>143.79</v>
      </c>
      <c r="F30" s="4">
        <v>143.79</v>
      </c>
      <c r="G30" s="13">
        <f t="shared" si="0"/>
        <v>-2.7657560183932943E-2</v>
      </c>
      <c r="H30" s="6">
        <f>T30/100</f>
        <v>-8.4000000000000005E-2</v>
      </c>
      <c r="I30" s="7">
        <f>U30</f>
        <v>0.06</v>
      </c>
      <c r="J30" s="6">
        <f>U30/100</f>
        <v>5.9999999999999995E-4</v>
      </c>
      <c r="K30" s="13">
        <f>G30-J30</f>
        <v>-2.8257560183932943E-2</v>
      </c>
      <c r="M30" s="10" t="s">
        <v>37</v>
      </c>
      <c r="N30" s="14"/>
      <c r="T30">
        <v>-8.4</v>
      </c>
      <c r="U30">
        <v>0.06</v>
      </c>
      <c r="V30">
        <v>2.0699999999999998</v>
      </c>
      <c r="W30">
        <v>-6</v>
      </c>
    </row>
    <row r="31" spans="1:23" ht="29" x14ac:dyDescent="0.35">
      <c r="A31" s="3">
        <v>44712</v>
      </c>
      <c r="B31" s="4">
        <v>161.6</v>
      </c>
      <c r="C31" s="4">
        <v>162</v>
      </c>
      <c r="D31" s="4">
        <v>139.18</v>
      </c>
      <c r="E31" s="4">
        <v>147.88</v>
      </c>
      <c r="F31" s="4">
        <v>147.88</v>
      </c>
      <c r="G31" s="13">
        <f t="shared" si="0"/>
        <v>-7.8916225474930018E-2</v>
      </c>
      <c r="H31" s="6">
        <f>T31/100</f>
        <v>-3.4000000000000002E-3</v>
      </c>
      <c r="I31" s="7">
        <f>U31</f>
        <v>0.03</v>
      </c>
      <c r="J31" s="6">
        <f>U31/100</f>
        <v>2.9999999999999997E-4</v>
      </c>
      <c r="K31" s="13">
        <f>G31-J31</f>
        <v>-7.9216225474930013E-2</v>
      </c>
      <c r="M31" s="5" t="s">
        <v>102</v>
      </c>
      <c r="N31" s="14"/>
      <c r="T31">
        <v>-0.34</v>
      </c>
      <c r="U31">
        <v>0.03</v>
      </c>
      <c r="V31">
        <v>-1.84</v>
      </c>
      <c r="W31">
        <v>8.44</v>
      </c>
    </row>
    <row r="32" spans="1:23" ht="15" customHeight="1" x14ac:dyDescent="0.35">
      <c r="A32" s="3">
        <v>44681</v>
      </c>
      <c r="B32" s="4">
        <v>153.52000000000001</v>
      </c>
      <c r="C32" s="4">
        <v>164.9</v>
      </c>
      <c r="D32" s="4">
        <v>151.26</v>
      </c>
      <c r="E32" s="4">
        <v>160.55000000000001</v>
      </c>
      <c r="F32" s="4">
        <v>160.55000000000001</v>
      </c>
      <c r="G32" s="13">
        <f t="shared" si="0"/>
        <v>5.071989528795811E-2</v>
      </c>
      <c r="H32" s="6">
        <f>T32/100</f>
        <v>-9.4100000000000003E-2</v>
      </c>
      <c r="I32" s="7">
        <f>U32</f>
        <v>0</v>
      </c>
      <c r="J32" s="6">
        <f>U32/100</f>
        <v>0</v>
      </c>
      <c r="K32" s="13">
        <f>G32-J32</f>
        <v>5.071989528795811E-2</v>
      </c>
      <c r="T32">
        <v>-9.41</v>
      </c>
      <c r="U32">
        <v>0</v>
      </c>
      <c r="V32">
        <v>-1.35</v>
      </c>
      <c r="W32">
        <v>6.18</v>
      </c>
    </row>
    <row r="33" spans="1:23" ht="15" customHeight="1" x14ac:dyDescent="0.35">
      <c r="A33" s="3">
        <v>44651</v>
      </c>
      <c r="B33" s="4">
        <v>154.31</v>
      </c>
      <c r="C33" s="4">
        <v>156.47</v>
      </c>
      <c r="D33" s="4">
        <v>143.03</v>
      </c>
      <c r="E33" s="4">
        <v>152.80000000000001</v>
      </c>
      <c r="F33" s="4">
        <v>152.80000000000001</v>
      </c>
      <c r="G33" s="13">
        <f t="shared" si="0"/>
        <v>-1.9821669125665374E-2</v>
      </c>
      <c r="H33" s="6">
        <f>T33/100</f>
        <v>3.0800000000000001E-2</v>
      </c>
      <c r="I33" s="7">
        <f>U33</f>
        <v>0</v>
      </c>
      <c r="J33" s="6">
        <f>U33/100</f>
        <v>0</v>
      </c>
      <c r="K33" s="13">
        <f>G33-J33</f>
        <v>-1.9821669125665374E-2</v>
      </c>
      <c r="T33">
        <v>3.08</v>
      </c>
      <c r="U33">
        <v>0</v>
      </c>
      <c r="V33">
        <v>-1.55</v>
      </c>
      <c r="W33">
        <v>-1.9</v>
      </c>
    </row>
    <row r="34" spans="1:23" ht="15" customHeight="1" x14ac:dyDescent="0.35">
      <c r="A34" s="3">
        <v>44620</v>
      </c>
      <c r="B34" s="4">
        <v>160.79</v>
      </c>
      <c r="C34" s="4">
        <v>164.98</v>
      </c>
      <c r="D34" s="4">
        <v>150.56</v>
      </c>
      <c r="E34" s="4">
        <v>155.88999999999999</v>
      </c>
      <c r="F34" s="4">
        <v>155.88999999999999</v>
      </c>
      <c r="G34" s="13">
        <f t="shared" ref="G34:G65" si="1">(F34-F35)/F35</f>
        <v>-2.8420068557182938E-2</v>
      </c>
      <c r="H34" s="6">
        <f>T34/100</f>
        <v>-2.2799999999999997E-2</v>
      </c>
      <c r="I34" s="7">
        <f>U34</f>
        <v>0</v>
      </c>
      <c r="J34" s="6">
        <f>U34/100</f>
        <v>0</v>
      </c>
      <c r="K34" s="13">
        <f>G34-J34</f>
        <v>-2.8420068557182938E-2</v>
      </c>
      <c r="T34">
        <v>-2.2799999999999998</v>
      </c>
      <c r="U34">
        <v>0</v>
      </c>
      <c r="V34">
        <v>2.16</v>
      </c>
      <c r="W34">
        <v>3.06</v>
      </c>
    </row>
    <row r="35" spans="1:23" ht="15" customHeight="1" x14ac:dyDescent="0.35">
      <c r="A35" s="3">
        <v>44592</v>
      </c>
      <c r="B35" s="4">
        <v>161.69</v>
      </c>
      <c r="C35" s="4">
        <v>165.35</v>
      </c>
      <c r="D35" s="4">
        <v>156.04</v>
      </c>
      <c r="E35" s="4">
        <v>160.44999999999999</v>
      </c>
      <c r="F35" s="4">
        <v>160.44999999999999</v>
      </c>
      <c r="G35" s="13">
        <f t="shared" si="1"/>
        <v>-1.913436850470732E-2</v>
      </c>
      <c r="H35" s="6">
        <f>T35/100</f>
        <v>-6.1600000000000002E-2</v>
      </c>
      <c r="I35" s="7">
        <f>U35</f>
        <v>0</v>
      </c>
      <c r="J35" s="6">
        <f>U35/100</f>
        <v>0</v>
      </c>
      <c r="K35" s="13">
        <f>G35-J35</f>
        <v>-1.913436850470732E-2</v>
      </c>
      <c r="T35">
        <v>-6.16</v>
      </c>
      <c r="U35">
        <v>0</v>
      </c>
      <c r="V35">
        <v>-5.93</v>
      </c>
      <c r="W35">
        <v>12.86</v>
      </c>
    </row>
    <row r="36" spans="1:23" ht="15" customHeight="1" x14ac:dyDescent="0.35">
      <c r="A36" s="3">
        <v>44561</v>
      </c>
      <c r="B36" s="4">
        <v>144.85</v>
      </c>
      <c r="C36" s="4">
        <v>164.98</v>
      </c>
      <c r="D36" s="4">
        <v>144.85</v>
      </c>
      <c r="E36" s="4">
        <v>163.58000000000001</v>
      </c>
      <c r="F36" s="4">
        <v>163.58000000000001</v>
      </c>
      <c r="G36" s="13">
        <f t="shared" si="1"/>
        <v>0.13141513349010928</v>
      </c>
      <c r="H36" s="6">
        <f>T36/100</f>
        <v>3.2300000000000002E-2</v>
      </c>
      <c r="I36" s="7">
        <f>U36</f>
        <v>0.01</v>
      </c>
      <c r="J36" s="6">
        <f>U36/100</f>
        <v>1E-4</v>
      </c>
      <c r="K36" s="13">
        <f>G36-J36</f>
        <v>0.13131513349010929</v>
      </c>
      <c r="T36">
        <v>3.23</v>
      </c>
      <c r="U36">
        <v>0.01</v>
      </c>
      <c r="V36">
        <v>-1.63</v>
      </c>
      <c r="W36">
        <v>3.25</v>
      </c>
    </row>
    <row r="37" spans="1:23" ht="15" customHeight="1" x14ac:dyDescent="0.35">
      <c r="A37" s="3">
        <v>44530</v>
      </c>
      <c r="B37" s="4">
        <v>143.36000000000001</v>
      </c>
      <c r="C37" s="4">
        <v>149.72</v>
      </c>
      <c r="D37" s="4">
        <v>142.28</v>
      </c>
      <c r="E37" s="4">
        <v>144.58000000000001</v>
      </c>
      <c r="F37" s="4">
        <v>144.58000000000001</v>
      </c>
      <c r="G37" s="13">
        <f t="shared" si="1"/>
        <v>1.1119658717392848E-2</v>
      </c>
      <c r="H37" s="6">
        <f>T37/100</f>
        <v>-1.5800000000000002E-2</v>
      </c>
      <c r="I37" s="7">
        <f>U37</f>
        <v>0</v>
      </c>
      <c r="J37" s="6">
        <f>U37/100</f>
        <v>0</v>
      </c>
      <c r="K37" s="13">
        <f>G37-J37</f>
        <v>1.1119658717392848E-2</v>
      </c>
      <c r="T37">
        <v>-1.58</v>
      </c>
      <c r="U37">
        <v>0</v>
      </c>
      <c r="V37">
        <v>-1.31</v>
      </c>
      <c r="W37">
        <v>-0.37</v>
      </c>
    </row>
    <row r="38" spans="1:23" ht="15" customHeight="1" x14ac:dyDescent="0.35">
      <c r="A38" s="3">
        <v>44500</v>
      </c>
      <c r="B38" s="4">
        <v>139.93</v>
      </c>
      <c r="C38" s="4">
        <v>144.87</v>
      </c>
      <c r="D38" s="4">
        <v>137.6</v>
      </c>
      <c r="E38" s="4">
        <v>142.99</v>
      </c>
      <c r="F38" s="4">
        <v>142.99</v>
      </c>
      <c r="G38" s="13">
        <f t="shared" si="1"/>
        <v>2.2818311874105848E-2</v>
      </c>
      <c r="H38" s="6">
        <f>T38/100</f>
        <v>6.6299999999999998E-2</v>
      </c>
      <c r="I38" s="7">
        <f>U38</f>
        <v>0</v>
      </c>
      <c r="J38" s="6">
        <f>U38/100</f>
        <v>0</v>
      </c>
      <c r="K38" s="13">
        <f>G38-J38</f>
        <v>2.2818311874105848E-2</v>
      </c>
      <c r="T38">
        <v>6.63</v>
      </c>
      <c r="U38">
        <v>0</v>
      </c>
      <c r="V38">
        <v>-2.2599999999999998</v>
      </c>
      <c r="W38">
        <v>-0.53</v>
      </c>
    </row>
    <row r="39" spans="1:23" ht="15" customHeight="1" x14ac:dyDescent="0.35">
      <c r="A39" s="3">
        <v>44469</v>
      </c>
      <c r="B39" s="4">
        <v>142.33000000000001</v>
      </c>
      <c r="C39" s="4">
        <v>147.22999999999999</v>
      </c>
      <c r="D39" s="4">
        <v>139.53</v>
      </c>
      <c r="E39" s="4">
        <v>139.80000000000001</v>
      </c>
      <c r="F39" s="4">
        <v>139.80000000000001</v>
      </c>
      <c r="G39" s="13">
        <f t="shared" si="1"/>
        <v>-1.8189479598286224E-2</v>
      </c>
      <c r="H39" s="6">
        <f>T39/100</f>
        <v>-4.4000000000000004E-2</v>
      </c>
      <c r="I39" s="7">
        <f>U39</f>
        <v>0</v>
      </c>
      <c r="J39" s="6">
        <f>U39/100</f>
        <v>0</v>
      </c>
      <c r="K39" s="13">
        <f>G39-J39</f>
        <v>-1.8189479598286224E-2</v>
      </c>
      <c r="T39">
        <v>-4.4000000000000004</v>
      </c>
      <c r="U39">
        <v>0</v>
      </c>
      <c r="V39">
        <v>0.66</v>
      </c>
      <c r="W39">
        <v>5.12</v>
      </c>
    </row>
    <row r="40" spans="1:23" ht="15" customHeight="1" x14ac:dyDescent="0.35">
      <c r="A40" s="3">
        <v>44439</v>
      </c>
      <c r="B40" s="4">
        <v>141.77000000000001</v>
      </c>
      <c r="C40" s="4">
        <v>145.97999999999999</v>
      </c>
      <c r="D40" s="4">
        <v>140.80000000000001</v>
      </c>
      <c r="E40" s="4">
        <v>142.38999999999999</v>
      </c>
      <c r="F40" s="4">
        <v>142.38999999999999</v>
      </c>
      <c r="G40" s="13">
        <f t="shared" si="1"/>
        <v>1.124938479926855E-3</v>
      </c>
      <c r="H40" s="6">
        <f>T40/100</f>
        <v>2.9399999999999999E-2</v>
      </c>
      <c r="I40" s="7">
        <f>U40</f>
        <v>0</v>
      </c>
      <c r="J40" s="6">
        <f>U40/100</f>
        <v>0</v>
      </c>
      <c r="K40" s="13">
        <f>G40-J40</f>
        <v>1.124938479926855E-3</v>
      </c>
      <c r="T40">
        <v>2.94</v>
      </c>
      <c r="U40">
        <v>0</v>
      </c>
      <c r="V40">
        <v>-0.32</v>
      </c>
      <c r="W40">
        <v>-0.23</v>
      </c>
    </row>
    <row r="41" spans="1:23" ht="15" customHeight="1" x14ac:dyDescent="0.35">
      <c r="A41" s="3">
        <v>44408</v>
      </c>
      <c r="B41" s="4">
        <v>135.43</v>
      </c>
      <c r="C41" s="4">
        <v>144.54</v>
      </c>
      <c r="D41" s="4">
        <v>134.91999999999999</v>
      </c>
      <c r="E41" s="4">
        <v>142.22999999999999</v>
      </c>
      <c r="F41" s="4">
        <v>142.22999999999999</v>
      </c>
      <c r="G41" s="13">
        <f t="shared" si="1"/>
        <v>5.4102127028829633E-2</v>
      </c>
      <c r="H41" s="6">
        <f>T41/100</f>
        <v>1.34E-2</v>
      </c>
      <c r="I41" s="7">
        <f>U41</f>
        <v>0</v>
      </c>
      <c r="J41" s="6">
        <f>U41/100</f>
        <v>0</v>
      </c>
      <c r="K41" s="13">
        <f>G41-J41</f>
        <v>5.4102127028829633E-2</v>
      </c>
      <c r="T41">
        <v>1.34</v>
      </c>
      <c r="U41">
        <v>0</v>
      </c>
      <c r="V41">
        <v>-3.93</v>
      </c>
      <c r="W41">
        <v>-1.79</v>
      </c>
    </row>
    <row r="42" spans="1:23" ht="15" customHeight="1" x14ac:dyDescent="0.35">
      <c r="A42" s="3">
        <v>44377</v>
      </c>
      <c r="B42" s="4">
        <v>135.79</v>
      </c>
      <c r="C42" s="4">
        <v>136.84</v>
      </c>
      <c r="D42" s="4">
        <v>131.94</v>
      </c>
      <c r="E42" s="4">
        <v>134.93</v>
      </c>
      <c r="F42" s="4">
        <v>134.93</v>
      </c>
      <c r="G42" s="13">
        <f t="shared" si="1"/>
        <v>5.9325176121625891E-4</v>
      </c>
      <c r="H42" s="6">
        <f>T42/100</f>
        <v>2.7400000000000001E-2</v>
      </c>
      <c r="I42" s="7">
        <f>U42</f>
        <v>0</v>
      </c>
      <c r="J42" s="6">
        <f>U42/100</f>
        <v>0</v>
      </c>
      <c r="K42" s="13">
        <f>G42-J42</f>
        <v>5.9325176121625891E-4</v>
      </c>
      <c r="T42">
        <v>2.74</v>
      </c>
      <c r="U42">
        <v>0</v>
      </c>
      <c r="V42">
        <v>1.7</v>
      </c>
      <c r="W42">
        <v>-7.86</v>
      </c>
    </row>
    <row r="43" spans="1:23" ht="15" customHeight="1" x14ac:dyDescent="0.35">
      <c r="A43" s="3">
        <v>44347</v>
      </c>
      <c r="B43" s="4">
        <v>134.03</v>
      </c>
      <c r="C43" s="4">
        <v>139.1</v>
      </c>
      <c r="D43" s="4">
        <v>133.37</v>
      </c>
      <c r="E43" s="4">
        <v>134.85</v>
      </c>
      <c r="F43" s="4">
        <v>134.85</v>
      </c>
      <c r="G43" s="13">
        <f t="shared" si="1"/>
        <v>1.0718033278369113E-2</v>
      </c>
      <c r="H43" s="6">
        <f>T43/100</f>
        <v>3.0000000000000001E-3</v>
      </c>
      <c r="I43" s="7">
        <f>U43</f>
        <v>0</v>
      </c>
      <c r="J43" s="6">
        <f>U43/100</f>
        <v>0</v>
      </c>
      <c r="K43" s="13">
        <f>G43-J43</f>
        <v>1.0718033278369113E-2</v>
      </c>
      <c r="T43">
        <v>0.3</v>
      </c>
      <c r="U43">
        <v>0</v>
      </c>
      <c r="V43">
        <v>-0.2</v>
      </c>
      <c r="W43">
        <v>7.04</v>
      </c>
    </row>
    <row r="44" spans="1:23" ht="15" customHeight="1" x14ac:dyDescent="0.35">
      <c r="A44" s="3">
        <v>44316</v>
      </c>
      <c r="B44" s="4">
        <v>135.05000000000001</v>
      </c>
      <c r="C44" s="4">
        <v>138.59</v>
      </c>
      <c r="D44" s="4">
        <v>130.29</v>
      </c>
      <c r="E44" s="4">
        <v>133.41999999999999</v>
      </c>
      <c r="F44" s="4">
        <v>133.41999999999999</v>
      </c>
      <c r="G44" s="13">
        <f t="shared" si="1"/>
        <v>-1.4841615594772348E-2</v>
      </c>
      <c r="H44" s="6">
        <f>T44/100</f>
        <v>4.9500000000000002E-2</v>
      </c>
      <c r="I44" s="7">
        <f>U44</f>
        <v>0</v>
      </c>
      <c r="J44" s="6">
        <f>U44/100</f>
        <v>0</v>
      </c>
      <c r="K44" s="13">
        <f>G44-J44</f>
        <v>-1.4841615594772348E-2</v>
      </c>
      <c r="T44">
        <v>4.95</v>
      </c>
      <c r="U44">
        <v>0</v>
      </c>
      <c r="V44">
        <v>-3.19</v>
      </c>
      <c r="W44">
        <v>-1.02</v>
      </c>
    </row>
    <row r="45" spans="1:23" ht="15" customHeight="1" x14ac:dyDescent="0.35">
      <c r="A45" s="3">
        <v>44286</v>
      </c>
      <c r="B45" s="4">
        <v>124.16</v>
      </c>
      <c r="C45" s="4">
        <v>137.6</v>
      </c>
      <c r="D45" s="4">
        <v>121.54</v>
      </c>
      <c r="E45" s="4">
        <v>135.43</v>
      </c>
      <c r="F45" s="4">
        <v>135.43</v>
      </c>
      <c r="G45" s="13">
        <f t="shared" si="1"/>
        <v>9.6332874605359067E-2</v>
      </c>
      <c r="H45" s="6">
        <f>T45/100</f>
        <v>3.1600000000000003E-2</v>
      </c>
      <c r="I45" s="7">
        <f>U45</f>
        <v>0</v>
      </c>
      <c r="J45" s="6">
        <f>U45/100</f>
        <v>0</v>
      </c>
      <c r="K45" s="13">
        <f>G45-J45</f>
        <v>9.6332874605359067E-2</v>
      </c>
      <c r="T45">
        <v>3.16</v>
      </c>
      <c r="U45">
        <v>0</v>
      </c>
      <c r="V45">
        <v>-2.33</v>
      </c>
      <c r="W45">
        <v>7.35</v>
      </c>
    </row>
    <row r="46" spans="1:23" ht="15" customHeight="1" x14ac:dyDescent="0.35">
      <c r="A46" s="3">
        <v>44255</v>
      </c>
      <c r="B46" s="4">
        <v>129</v>
      </c>
      <c r="C46" s="4">
        <v>130.72</v>
      </c>
      <c r="D46" s="4">
        <v>121.82</v>
      </c>
      <c r="E46" s="4">
        <v>123.53</v>
      </c>
      <c r="F46" s="4">
        <v>123.53</v>
      </c>
      <c r="G46" s="13">
        <f t="shared" si="1"/>
        <v>-3.6502612900709823E-2</v>
      </c>
      <c r="H46" s="6">
        <f>T46/100</f>
        <v>2.81E-2</v>
      </c>
      <c r="I46" s="7">
        <f>U46</f>
        <v>0</v>
      </c>
      <c r="J46" s="6">
        <f>U46/100</f>
        <v>0</v>
      </c>
      <c r="K46" s="13">
        <f>G46-J46</f>
        <v>-3.6502612900709823E-2</v>
      </c>
      <c r="T46">
        <v>2.81</v>
      </c>
      <c r="U46">
        <v>0</v>
      </c>
      <c r="V46">
        <v>2.02</v>
      </c>
      <c r="W46">
        <v>7.2</v>
      </c>
    </row>
    <row r="47" spans="1:23" ht="15" customHeight="1" x14ac:dyDescent="0.35">
      <c r="A47" s="3">
        <v>44227</v>
      </c>
      <c r="B47" s="4">
        <v>139.66</v>
      </c>
      <c r="C47" s="4">
        <v>141.04</v>
      </c>
      <c r="D47" s="4">
        <v>127.44</v>
      </c>
      <c r="E47" s="4">
        <v>128.21</v>
      </c>
      <c r="F47" s="4">
        <v>128.21</v>
      </c>
      <c r="G47" s="13">
        <f t="shared" si="1"/>
        <v>-7.8553974414258876E-2</v>
      </c>
      <c r="H47" s="6">
        <f>T47/100</f>
        <v>-7.000000000000001E-4</v>
      </c>
      <c r="I47" s="7">
        <f>U47</f>
        <v>0</v>
      </c>
      <c r="J47" s="6">
        <f>U47/100</f>
        <v>0</v>
      </c>
      <c r="K47" s="13">
        <f>G47-J47</f>
        <v>-7.8553974414258876E-2</v>
      </c>
      <c r="T47">
        <v>-7.0000000000000007E-2</v>
      </c>
      <c r="U47">
        <v>0</v>
      </c>
      <c r="V47">
        <v>7.14</v>
      </c>
      <c r="W47">
        <v>3.22</v>
      </c>
    </row>
    <row r="48" spans="1:23" ht="15" customHeight="1" x14ac:dyDescent="0.35">
      <c r="A48" s="3">
        <v>44196</v>
      </c>
      <c r="B48" s="4">
        <v>139.16</v>
      </c>
      <c r="C48" s="4">
        <v>140.07</v>
      </c>
      <c r="D48" s="4">
        <v>134.19999999999999</v>
      </c>
      <c r="E48" s="4">
        <v>139.13999999999999</v>
      </c>
      <c r="F48" s="4">
        <v>139.13999999999999</v>
      </c>
      <c r="G48" s="13">
        <f t="shared" si="1"/>
        <v>1.9442644199609838E-3</v>
      </c>
      <c r="H48" s="6">
        <f>T48/100</f>
        <v>4.6300000000000001E-2</v>
      </c>
      <c r="I48" s="7">
        <f>U48</f>
        <v>0.01</v>
      </c>
      <c r="J48" s="6">
        <f>U48/100</f>
        <v>1E-4</v>
      </c>
      <c r="K48" s="13">
        <f>G48-J48</f>
        <v>1.8442644199609837E-3</v>
      </c>
      <c r="T48">
        <v>4.63</v>
      </c>
      <c r="U48">
        <v>0.01</v>
      </c>
      <c r="V48">
        <v>5.01</v>
      </c>
      <c r="W48">
        <v>-1.68</v>
      </c>
    </row>
    <row r="49" spans="1:23" ht="15" customHeight="1" x14ac:dyDescent="0.35">
      <c r="A49" s="3">
        <v>44165</v>
      </c>
      <c r="B49" s="4">
        <v>138.51</v>
      </c>
      <c r="C49" s="4">
        <v>146.91999999999999</v>
      </c>
      <c r="D49" s="4">
        <v>136.74</v>
      </c>
      <c r="E49" s="4">
        <v>138.87</v>
      </c>
      <c r="F49" s="4">
        <v>138.87</v>
      </c>
      <c r="G49" s="13">
        <f t="shared" si="1"/>
        <v>1.2910284463895043E-2</v>
      </c>
      <c r="H49" s="6">
        <f>T49/100</f>
        <v>0.1245</v>
      </c>
      <c r="I49" s="7">
        <f>U49</f>
        <v>0.01</v>
      </c>
      <c r="J49" s="6">
        <f>U49/100</f>
        <v>1E-4</v>
      </c>
      <c r="K49" s="13">
        <f>G49-J49</f>
        <v>1.2810284463895044E-2</v>
      </c>
      <c r="T49">
        <v>12.45</v>
      </c>
      <c r="U49">
        <v>0.01</v>
      </c>
      <c r="V49">
        <v>5.81</v>
      </c>
      <c r="W49">
        <v>2.09</v>
      </c>
    </row>
    <row r="50" spans="1:23" ht="15" customHeight="1" x14ac:dyDescent="0.35">
      <c r="A50" s="3">
        <v>44135</v>
      </c>
      <c r="B50" s="4">
        <v>139.58000000000001</v>
      </c>
      <c r="C50" s="4">
        <v>145.87</v>
      </c>
      <c r="D50" s="4">
        <v>134.68</v>
      </c>
      <c r="E50" s="4">
        <v>137.1</v>
      </c>
      <c r="F50" s="4">
        <v>137.1</v>
      </c>
      <c r="G50" s="13">
        <f t="shared" si="1"/>
        <v>-1.3598100582775845E-2</v>
      </c>
      <c r="H50" s="6">
        <f>T50/100</f>
        <v>-2.0799999999999999E-2</v>
      </c>
      <c r="I50" s="7">
        <f>U50</f>
        <v>0.01</v>
      </c>
      <c r="J50" s="6">
        <f>U50/100</f>
        <v>1E-4</v>
      </c>
      <c r="K50" s="13">
        <f>G50-J50</f>
        <v>-1.3698100582775844E-2</v>
      </c>
      <c r="T50">
        <v>-2.08</v>
      </c>
      <c r="U50">
        <v>0.01</v>
      </c>
      <c r="V50">
        <v>4.34</v>
      </c>
      <c r="W50">
        <v>4.25</v>
      </c>
    </row>
    <row r="51" spans="1:23" ht="15" customHeight="1" x14ac:dyDescent="0.35">
      <c r="A51" s="3">
        <v>44104</v>
      </c>
      <c r="B51" s="4">
        <v>137.86000000000001</v>
      </c>
      <c r="C51" s="4">
        <v>141.69999999999999</v>
      </c>
      <c r="D51" s="4">
        <v>134.69999999999999</v>
      </c>
      <c r="E51" s="4">
        <v>138.99</v>
      </c>
      <c r="F51" s="4">
        <v>138.99</v>
      </c>
      <c r="G51" s="13">
        <f t="shared" si="1"/>
        <v>4.7711993060073482E-3</v>
      </c>
      <c r="H51" s="6">
        <f>T51/100</f>
        <v>-3.6400000000000002E-2</v>
      </c>
      <c r="I51" s="7">
        <f>U51</f>
        <v>0.01</v>
      </c>
      <c r="J51" s="6">
        <f>U51/100</f>
        <v>1E-4</v>
      </c>
      <c r="K51" s="13">
        <f>G51-J51</f>
        <v>4.6711993060073479E-3</v>
      </c>
      <c r="T51">
        <v>-3.64</v>
      </c>
      <c r="U51">
        <v>0.01</v>
      </c>
      <c r="V51">
        <v>0.06</v>
      </c>
      <c r="W51">
        <v>-2.72</v>
      </c>
    </row>
    <row r="52" spans="1:23" ht="15" customHeight="1" x14ac:dyDescent="0.35">
      <c r="A52" s="3">
        <v>44074</v>
      </c>
      <c r="B52" s="4">
        <v>130.47</v>
      </c>
      <c r="C52" s="4">
        <v>139.69</v>
      </c>
      <c r="D52" s="4">
        <v>130.47</v>
      </c>
      <c r="E52" s="4">
        <v>138.33000000000001</v>
      </c>
      <c r="F52" s="4">
        <v>138.33000000000001</v>
      </c>
      <c r="G52" s="13">
        <f t="shared" si="1"/>
        <v>5.4987797437461926E-2</v>
      </c>
      <c r="H52" s="6">
        <f>T52/100</f>
        <v>7.6200000000000004E-2</v>
      </c>
      <c r="I52" s="7">
        <f>U52</f>
        <v>0.01</v>
      </c>
      <c r="J52" s="6">
        <f>U52/100</f>
        <v>1E-4</v>
      </c>
      <c r="K52" s="13">
        <f>G52-J52</f>
        <v>5.4887797437461923E-2</v>
      </c>
      <c r="T52">
        <v>7.62</v>
      </c>
      <c r="U52">
        <v>0.01</v>
      </c>
      <c r="V52">
        <v>-0.2</v>
      </c>
      <c r="W52">
        <v>-3.02</v>
      </c>
    </row>
    <row r="53" spans="1:23" ht="15" customHeight="1" x14ac:dyDescent="0.35">
      <c r="A53" s="3">
        <v>44043</v>
      </c>
      <c r="B53" s="4">
        <v>119.65</v>
      </c>
      <c r="C53" s="4">
        <v>132.03</v>
      </c>
      <c r="D53" s="4">
        <v>118.9</v>
      </c>
      <c r="E53" s="4">
        <v>131.12</v>
      </c>
      <c r="F53" s="4">
        <v>131.12</v>
      </c>
      <c r="G53" s="13">
        <f t="shared" si="1"/>
        <v>9.6596136154553924E-2</v>
      </c>
      <c r="H53" s="6">
        <f>T53/100</f>
        <v>5.8299999999999998E-2</v>
      </c>
      <c r="I53" s="7">
        <f>U53</f>
        <v>0.01</v>
      </c>
      <c r="J53" s="6">
        <f>U53/100</f>
        <v>1E-4</v>
      </c>
      <c r="K53" s="13">
        <f>G53-J53</f>
        <v>9.6496136154553921E-2</v>
      </c>
      <c r="T53">
        <v>5.83</v>
      </c>
      <c r="U53">
        <v>0.01</v>
      </c>
      <c r="V53">
        <v>-2.35</v>
      </c>
      <c r="W53">
        <v>-1.44</v>
      </c>
    </row>
    <row r="54" spans="1:23" ht="15" customHeight="1" x14ac:dyDescent="0.35">
      <c r="A54" s="3">
        <v>44012</v>
      </c>
      <c r="B54" s="4">
        <v>116</v>
      </c>
      <c r="C54" s="4">
        <v>121.82</v>
      </c>
      <c r="D54" s="4">
        <v>113.76</v>
      </c>
      <c r="E54" s="4">
        <v>119.57</v>
      </c>
      <c r="F54" s="4">
        <v>119.57</v>
      </c>
      <c r="G54" s="13">
        <f t="shared" si="1"/>
        <v>3.148723257418902E-2</v>
      </c>
      <c r="H54" s="6">
        <f>T54/100</f>
        <v>2.4500000000000001E-2</v>
      </c>
      <c r="I54" s="7">
        <f>U54</f>
        <v>0.01</v>
      </c>
      <c r="J54" s="6">
        <f>U54/100</f>
        <v>1E-4</v>
      </c>
      <c r="K54" s="13">
        <f>G54-J54</f>
        <v>3.1387232574189017E-2</v>
      </c>
      <c r="T54">
        <v>2.4500000000000002</v>
      </c>
      <c r="U54">
        <v>0.01</v>
      </c>
      <c r="V54">
        <v>2.67</v>
      </c>
      <c r="W54">
        <v>-2.17</v>
      </c>
    </row>
    <row r="55" spans="1:23" ht="15" customHeight="1" x14ac:dyDescent="0.35">
      <c r="A55" s="3">
        <v>43982</v>
      </c>
      <c r="B55" s="4">
        <v>117.6</v>
      </c>
      <c r="C55" s="4">
        <v>118.37</v>
      </c>
      <c r="D55" s="4">
        <v>111.25</v>
      </c>
      <c r="E55" s="4">
        <v>115.92</v>
      </c>
      <c r="F55" s="4">
        <v>115.92</v>
      </c>
      <c r="G55" s="13">
        <f t="shared" si="1"/>
        <v>-1.6543649783659988E-2</v>
      </c>
      <c r="H55" s="6">
        <f>T55/100</f>
        <v>5.57E-2</v>
      </c>
      <c r="I55" s="7">
        <f>U55</f>
        <v>0.01</v>
      </c>
      <c r="J55" s="6">
        <f>U55/100</f>
        <v>1E-4</v>
      </c>
      <c r="K55" s="13">
        <f>G55-J55</f>
        <v>-1.6643649783659988E-2</v>
      </c>
      <c r="T55">
        <v>5.57</v>
      </c>
      <c r="U55">
        <v>0.01</v>
      </c>
      <c r="V55">
        <v>2.4</v>
      </c>
      <c r="W55">
        <v>-5</v>
      </c>
    </row>
    <row r="56" spans="1:23" ht="15" customHeight="1" x14ac:dyDescent="0.35">
      <c r="A56" s="3">
        <v>43951</v>
      </c>
      <c r="B56" s="4">
        <v>107.95</v>
      </c>
      <c r="C56" s="4">
        <v>124.99</v>
      </c>
      <c r="D56" s="4">
        <v>107</v>
      </c>
      <c r="E56" s="4">
        <v>117.87</v>
      </c>
      <c r="F56" s="4">
        <v>117.87</v>
      </c>
      <c r="G56" s="13">
        <f t="shared" si="1"/>
        <v>7.1545454545454593E-2</v>
      </c>
      <c r="H56" s="6">
        <f>T56/100</f>
        <v>0.13600000000000001</v>
      </c>
      <c r="I56" s="7">
        <f>U56</f>
        <v>0</v>
      </c>
      <c r="J56" s="6">
        <f>U56/100</f>
        <v>0</v>
      </c>
      <c r="K56" s="13">
        <f>G56-J56</f>
        <v>7.1545454545454593E-2</v>
      </c>
      <c r="T56">
        <v>13.6</v>
      </c>
      <c r="U56">
        <v>0</v>
      </c>
      <c r="V56">
        <v>2.5</v>
      </c>
      <c r="W56">
        <v>-1.34</v>
      </c>
    </row>
    <row r="57" spans="1:23" ht="15" customHeight="1" x14ac:dyDescent="0.35">
      <c r="A57" s="3">
        <v>43921</v>
      </c>
      <c r="B57" s="4">
        <v>113.19</v>
      </c>
      <c r="C57" s="4">
        <v>124.69</v>
      </c>
      <c r="D57" s="4">
        <v>94.34</v>
      </c>
      <c r="E57" s="4">
        <v>110</v>
      </c>
      <c r="F57" s="4">
        <v>110</v>
      </c>
      <c r="G57" s="13">
        <f t="shared" si="1"/>
        <v>-2.8526009008213404E-2</v>
      </c>
      <c r="H57" s="6">
        <f>T57/100</f>
        <v>-0.13369999999999999</v>
      </c>
      <c r="I57" s="7">
        <f>U57</f>
        <v>0.12</v>
      </c>
      <c r="J57" s="6">
        <f>U57/100</f>
        <v>1.1999999999999999E-3</v>
      </c>
      <c r="K57" s="13">
        <f>G57-J57</f>
        <v>-2.9726009008213403E-2</v>
      </c>
      <c r="T57">
        <v>-13.37</v>
      </c>
      <c r="U57">
        <v>0.12</v>
      </c>
      <c r="V57">
        <v>-4.6900000000000004</v>
      </c>
      <c r="W57">
        <v>-13.83</v>
      </c>
    </row>
    <row r="58" spans="1:23" ht="15" customHeight="1" x14ac:dyDescent="0.35">
      <c r="A58" s="3">
        <v>43890</v>
      </c>
      <c r="B58" s="4">
        <v>124.66</v>
      </c>
      <c r="C58" s="4">
        <v>128.09</v>
      </c>
      <c r="D58" s="4">
        <v>106.67</v>
      </c>
      <c r="E58" s="4">
        <v>113.23</v>
      </c>
      <c r="F58" s="4">
        <v>113.23</v>
      </c>
      <c r="G58" s="13">
        <f t="shared" si="1"/>
        <v>-9.1397849462365593E-2</v>
      </c>
      <c r="H58" s="6">
        <f>T58/100</f>
        <v>-8.1500000000000003E-2</v>
      </c>
      <c r="I58" s="7">
        <f>U58</f>
        <v>0.12</v>
      </c>
      <c r="J58" s="6">
        <f>U58/100</f>
        <v>1.1999999999999999E-3</v>
      </c>
      <c r="K58" s="13">
        <f>G58-J58</f>
        <v>-9.25978494623656E-2</v>
      </c>
      <c r="T58">
        <v>-8.15</v>
      </c>
      <c r="U58">
        <v>0.12</v>
      </c>
      <c r="V58">
        <v>1.08</v>
      </c>
      <c r="W58">
        <v>-3.82</v>
      </c>
    </row>
    <row r="59" spans="1:23" ht="15" customHeight="1" x14ac:dyDescent="0.35">
      <c r="A59" s="3">
        <v>43861</v>
      </c>
      <c r="B59" s="4">
        <v>124.5</v>
      </c>
      <c r="C59" s="4">
        <v>127</v>
      </c>
      <c r="D59" s="4">
        <v>121.86</v>
      </c>
      <c r="E59" s="4">
        <v>124.62</v>
      </c>
      <c r="F59" s="4">
        <v>124.62</v>
      </c>
      <c r="G59" s="13">
        <f t="shared" si="1"/>
        <v>-2.2417934347478074E-3</v>
      </c>
      <c r="H59" s="6">
        <f>T59/100</f>
        <v>-1.1000000000000001E-3</v>
      </c>
      <c r="I59" s="7">
        <f>U59</f>
        <v>0.13</v>
      </c>
      <c r="J59" s="6">
        <f>U59/100</f>
        <v>1.2999999999999999E-3</v>
      </c>
      <c r="K59" s="13">
        <f>G59-J59</f>
        <v>-3.5417934347478073E-3</v>
      </c>
      <c r="T59">
        <v>-0.11</v>
      </c>
      <c r="U59">
        <v>0.13</v>
      </c>
      <c r="V59">
        <v>-3.1</v>
      </c>
      <c r="W59">
        <v>-6.22</v>
      </c>
    </row>
    <row r="60" spans="1:23" ht="15" customHeight="1" x14ac:dyDescent="0.35">
      <c r="A60" s="3">
        <v>43830</v>
      </c>
      <c r="B60" s="4">
        <v>121.94</v>
      </c>
      <c r="C60" s="4">
        <v>126.6</v>
      </c>
      <c r="D60" s="4">
        <v>120.96</v>
      </c>
      <c r="E60" s="4">
        <v>124.9</v>
      </c>
      <c r="F60" s="4">
        <v>124.9</v>
      </c>
      <c r="G60" s="13">
        <f t="shared" si="1"/>
        <v>2.3267245616909744E-2</v>
      </c>
      <c r="H60" s="6">
        <f>T60/100</f>
        <v>2.7699999999999999E-2</v>
      </c>
      <c r="I60" s="7">
        <f>U60</f>
        <v>0.14000000000000001</v>
      </c>
      <c r="J60" s="6">
        <f>U60/100</f>
        <v>1.4000000000000002E-3</v>
      </c>
      <c r="K60" s="13">
        <f>G60-J60</f>
        <v>2.1867245616909746E-2</v>
      </c>
      <c r="T60">
        <v>2.77</v>
      </c>
      <c r="U60">
        <v>0.14000000000000001</v>
      </c>
      <c r="V60">
        <v>0.76</v>
      </c>
      <c r="W60">
        <v>1.73</v>
      </c>
    </row>
    <row r="61" spans="1:23" ht="15" customHeight="1" x14ac:dyDescent="0.35">
      <c r="A61" s="3">
        <v>43799</v>
      </c>
      <c r="B61" s="4">
        <v>124.83</v>
      </c>
      <c r="C61" s="4">
        <v>125.14</v>
      </c>
      <c r="D61" s="4">
        <v>118.24</v>
      </c>
      <c r="E61" s="4">
        <v>122.06</v>
      </c>
      <c r="F61" s="4">
        <v>122.06</v>
      </c>
      <c r="G61" s="13">
        <f t="shared" si="1"/>
        <v>-1.9677134366717555E-2</v>
      </c>
      <c r="H61" s="6">
        <f>T61/100</f>
        <v>3.8699999999999998E-2</v>
      </c>
      <c r="I61" s="7">
        <f>U61</f>
        <v>0.12</v>
      </c>
      <c r="J61" s="6">
        <f>U61/100</f>
        <v>1.1999999999999999E-3</v>
      </c>
      <c r="K61" s="13">
        <f>G61-J61</f>
        <v>-2.0877134366717554E-2</v>
      </c>
      <c r="T61">
        <v>3.87</v>
      </c>
      <c r="U61">
        <v>0.12</v>
      </c>
      <c r="V61">
        <v>0.72</v>
      </c>
      <c r="W61">
        <v>-2</v>
      </c>
    </row>
    <row r="62" spans="1:23" ht="15" customHeight="1" x14ac:dyDescent="0.35">
      <c r="A62" s="3">
        <v>43769</v>
      </c>
      <c r="B62" s="4">
        <v>124.36</v>
      </c>
      <c r="C62" s="4">
        <v>125.77</v>
      </c>
      <c r="D62" s="4">
        <v>116.17</v>
      </c>
      <c r="E62" s="4">
        <v>124.51</v>
      </c>
      <c r="F62" s="4">
        <v>124.51</v>
      </c>
      <c r="G62" s="13">
        <f t="shared" si="1"/>
        <v>1.0451841132015571E-3</v>
      </c>
      <c r="H62" s="6">
        <f>T62/100</f>
        <v>2.07E-2</v>
      </c>
      <c r="I62" s="7">
        <f>U62</f>
        <v>0.15</v>
      </c>
      <c r="J62" s="6">
        <f>U62/100</f>
        <v>1.5E-3</v>
      </c>
      <c r="K62" s="13">
        <f>G62-J62</f>
        <v>-4.5481588679844296E-4</v>
      </c>
      <c r="T62">
        <v>2.0699999999999998</v>
      </c>
      <c r="U62">
        <v>0.15</v>
      </c>
      <c r="V62">
        <v>0.27</v>
      </c>
      <c r="W62">
        <v>-1.92</v>
      </c>
    </row>
    <row r="63" spans="1:23" ht="15" customHeight="1" x14ac:dyDescent="0.35">
      <c r="A63" s="3">
        <v>43738</v>
      </c>
      <c r="B63" s="4">
        <v>119.79</v>
      </c>
      <c r="C63" s="4">
        <v>125.36</v>
      </c>
      <c r="D63" s="4">
        <v>119.02</v>
      </c>
      <c r="E63" s="4">
        <v>124.38</v>
      </c>
      <c r="F63" s="4">
        <v>124.38</v>
      </c>
      <c r="G63" s="13">
        <f t="shared" si="1"/>
        <v>3.4517175413790166E-2</v>
      </c>
      <c r="H63" s="6">
        <f>T63/100</f>
        <v>1.41E-2</v>
      </c>
      <c r="I63" s="7">
        <f>U63</f>
        <v>0.18</v>
      </c>
      <c r="J63" s="6">
        <f>U63/100</f>
        <v>1.8E-3</v>
      </c>
      <c r="K63" s="13">
        <f>G63-J63</f>
        <v>3.2717175413790163E-2</v>
      </c>
      <c r="T63">
        <v>1.41</v>
      </c>
      <c r="U63">
        <v>0.18</v>
      </c>
      <c r="V63">
        <v>-0.97</v>
      </c>
      <c r="W63">
        <v>6.76</v>
      </c>
    </row>
    <row r="64" spans="1:23" ht="15" customHeight="1" x14ac:dyDescent="0.35">
      <c r="A64" s="3">
        <v>43708</v>
      </c>
      <c r="B64" s="4">
        <v>118.56</v>
      </c>
      <c r="C64" s="4">
        <v>122</v>
      </c>
      <c r="D64" s="4">
        <v>112.68</v>
      </c>
      <c r="E64" s="4">
        <v>120.23</v>
      </c>
      <c r="F64" s="4">
        <v>120.23</v>
      </c>
      <c r="G64" s="13">
        <f t="shared" si="1"/>
        <v>1.8553032870213468E-2</v>
      </c>
      <c r="H64" s="6">
        <f>T64/100</f>
        <v>-2.5499999999999998E-2</v>
      </c>
      <c r="I64" s="7">
        <f>U64</f>
        <v>0.16</v>
      </c>
      <c r="J64" s="6">
        <f>U64/100</f>
        <v>1.6000000000000001E-3</v>
      </c>
      <c r="K64" s="13">
        <f>G64-J64</f>
        <v>1.6953032870213467E-2</v>
      </c>
      <c r="T64">
        <v>-2.5499999999999998</v>
      </c>
      <c r="U64">
        <v>0.16</v>
      </c>
      <c r="V64">
        <v>-2.39</v>
      </c>
      <c r="W64">
        <v>-4.7699999999999996</v>
      </c>
    </row>
    <row r="65" spans="1:23" ht="15" customHeight="1" x14ac:dyDescent="0.35">
      <c r="A65" s="3">
        <v>43677</v>
      </c>
      <c r="B65" s="4">
        <v>109.92</v>
      </c>
      <c r="C65" s="4">
        <v>121.76</v>
      </c>
      <c r="D65" s="4">
        <v>109.61</v>
      </c>
      <c r="E65" s="4">
        <v>118.04</v>
      </c>
      <c r="F65" s="4">
        <v>118.04</v>
      </c>
      <c r="G65" s="13">
        <f t="shared" si="1"/>
        <v>7.6516187870497035E-2</v>
      </c>
      <c r="H65" s="6">
        <f>T65/100</f>
        <v>1.23E-2</v>
      </c>
      <c r="I65" s="7">
        <f>U65</f>
        <v>0.19</v>
      </c>
      <c r="J65" s="6">
        <f>U65/100</f>
        <v>1.9E-3</v>
      </c>
      <c r="K65" s="13">
        <f>G65-J65</f>
        <v>7.4616187870497036E-2</v>
      </c>
      <c r="T65">
        <v>1.23</v>
      </c>
      <c r="U65">
        <v>0.19</v>
      </c>
      <c r="V65">
        <v>-1.96</v>
      </c>
      <c r="W65">
        <v>0.5</v>
      </c>
    </row>
    <row r="66" spans="1:23" ht="15" customHeight="1" x14ac:dyDescent="0.35">
      <c r="A66" s="3">
        <v>43646</v>
      </c>
      <c r="B66" s="4">
        <v>103.15</v>
      </c>
      <c r="C66" s="4">
        <v>112.63</v>
      </c>
      <c r="D66" s="4">
        <v>102.4</v>
      </c>
      <c r="E66" s="4">
        <v>109.65</v>
      </c>
      <c r="F66" s="4">
        <v>109.65</v>
      </c>
      <c r="G66" s="13">
        <f t="shared" ref="G66:G97" si="2">(F66-F67)/F67</f>
        <v>6.5494121076669021E-2</v>
      </c>
      <c r="H66" s="6">
        <f>T66/100</f>
        <v>6.9900000000000004E-2</v>
      </c>
      <c r="I66" s="7">
        <f>U66</f>
        <v>0.18</v>
      </c>
      <c r="J66" s="6">
        <f>U66/100</f>
        <v>1.8E-3</v>
      </c>
      <c r="K66" s="13">
        <f>G66-J66</f>
        <v>6.3694121076669025E-2</v>
      </c>
      <c r="T66">
        <v>6.99</v>
      </c>
      <c r="U66">
        <v>0.18</v>
      </c>
      <c r="V66">
        <v>0.11</v>
      </c>
      <c r="W66">
        <v>-0.64</v>
      </c>
    </row>
    <row r="67" spans="1:23" ht="15" customHeight="1" x14ac:dyDescent="0.35">
      <c r="A67" s="3">
        <v>43616</v>
      </c>
      <c r="B67" s="4">
        <v>106.15</v>
      </c>
      <c r="C67" s="4">
        <v>108.68</v>
      </c>
      <c r="D67" s="4">
        <v>102.41</v>
      </c>
      <c r="E67" s="4">
        <v>102.91</v>
      </c>
      <c r="F67" s="4">
        <v>102.91</v>
      </c>
      <c r="G67" s="13">
        <f t="shared" si="2"/>
        <v>-3.3527422990232973E-2</v>
      </c>
      <c r="H67" s="6">
        <f>T67/100</f>
        <v>-6.9199999999999998E-2</v>
      </c>
      <c r="I67" s="7">
        <f>U67</f>
        <v>0.21</v>
      </c>
      <c r="J67" s="6">
        <f>U67/100</f>
        <v>2.0999999999999999E-3</v>
      </c>
      <c r="K67" s="13">
        <f>G67-J67</f>
        <v>-3.5627422990232971E-2</v>
      </c>
      <c r="T67">
        <v>-6.92</v>
      </c>
      <c r="U67">
        <v>0.21</v>
      </c>
      <c r="V67">
        <v>-1.26</v>
      </c>
      <c r="W67">
        <v>-2.4500000000000002</v>
      </c>
    </row>
    <row r="68" spans="1:23" ht="15" customHeight="1" x14ac:dyDescent="0.35">
      <c r="A68" s="3">
        <v>43585</v>
      </c>
      <c r="B68" s="4">
        <v>104.23</v>
      </c>
      <c r="C68" s="4">
        <v>107.2</v>
      </c>
      <c r="D68" s="4">
        <v>102.13</v>
      </c>
      <c r="E68" s="4">
        <v>106.48</v>
      </c>
      <c r="F68" s="4">
        <v>106.48</v>
      </c>
      <c r="G68" s="13">
        <f t="shared" si="2"/>
        <v>2.3354156655454174E-2</v>
      </c>
      <c r="H68" s="6">
        <f>T68/100</f>
        <v>3.9699999999999999E-2</v>
      </c>
      <c r="I68" s="7">
        <f>U68</f>
        <v>0.21</v>
      </c>
      <c r="J68" s="6">
        <f>U68/100</f>
        <v>2.0999999999999999E-3</v>
      </c>
      <c r="K68" s="13">
        <f>G68-J68</f>
        <v>2.1254156655454173E-2</v>
      </c>
      <c r="T68">
        <v>3.97</v>
      </c>
      <c r="U68">
        <v>0.21</v>
      </c>
      <c r="V68">
        <v>-1.74</v>
      </c>
      <c r="W68">
        <v>2.13</v>
      </c>
    </row>
    <row r="69" spans="1:23" ht="15" customHeight="1" x14ac:dyDescent="0.35">
      <c r="A69" s="3">
        <v>43555</v>
      </c>
      <c r="B69" s="4">
        <v>98.61</v>
      </c>
      <c r="C69" s="4">
        <v>104.15</v>
      </c>
      <c r="D69" s="4">
        <v>97.75</v>
      </c>
      <c r="E69" s="4">
        <v>104.05</v>
      </c>
      <c r="F69" s="4">
        <v>104.05</v>
      </c>
      <c r="G69" s="13">
        <f t="shared" si="2"/>
        <v>5.5809233891425676E-2</v>
      </c>
      <c r="H69" s="6">
        <f>T69/100</f>
        <v>1.1000000000000001E-2</v>
      </c>
      <c r="I69" s="7">
        <f>U69</f>
        <v>0.19</v>
      </c>
      <c r="J69" s="6">
        <f>U69/100</f>
        <v>1.9E-3</v>
      </c>
      <c r="K69" s="13">
        <f>G69-J69</f>
        <v>5.3909233891425677E-2</v>
      </c>
      <c r="T69">
        <v>1.1000000000000001</v>
      </c>
      <c r="U69">
        <v>0.19</v>
      </c>
      <c r="V69">
        <v>-3.03</v>
      </c>
      <c r="W69">
        <v>-4.1399999999999997</v>
      </c>
    </row>
    <row r="70" spans="1:23" ht="15" customHeight="1" x14ac:dyDescent="0.35">
      <c r="A70" s="3">
        <v>43524</v>
      </c>
      <c r="B70" s="4">
        <v>96.35</v>
      </c>
      <c r="C70" s="4">
        <v>100.45</v>
      </c>
      <c r="D70" s="4">
        <v>95.99</v>
      </c>
      <c r="E70" s="4">
        <v>98.55</v>
      </c>
      <c r="F70" s="4">
        <v>98.55</v>
      </c>
      <c r="G70" s="13">
        <f t="shared" si="2"/>
        <v>2.1561107079921201E-2</v>
      </c>
      <c r="H70" s="6">
        <f>T70/100</f>
        <v>3.4200000000000001E-2</v>
      </c>
      <c r="I70" s="7">
        <f>U70</f>
        <v>0.18</v>
      </c>
      <c r="J70" s="6">
        <f>U70/100</f>
        <v>1.8E-3</v>
      </c>
      <c r="K70" s="13">
        <f>G70-J70</f>
        <v>1.9761107079921202E-2</v>
      </c>
      <c r="T70">
        <v>3.42</v>
      </c>
      <c r="U70">
        <v>0.18</v>
      </c>
      <c r="V70">
        <v>2.0499999999999998</v>
      </c>
      <c r="W70">
        <v>-2.66</v>
      </c>
    </row>
    <row r="71" spans="1:23" ht="15" customHeight="1" x14ac:dyDescent="0.35">
      <c r="A71" s="3">
        <v>43496</v>
      </c>
      <c r="B71" s="4">
        <v>91.03</v>
      </c>
      <c r="C71" s="4">
        <v>96.81</v>
      </c>
      <c r="D71" s="4">
        <v>89.08</v>
      </c>
      <c r="E71" s="4">
        <v>96.47</v>
      </c>
      <c r="F71" s="4">
        <v>96.47</v>
      </c>
      <c r="G71" s="13">
        <f t="shared" si="2"/>
        <v>4.9499564838990394E-2</v>
      </c>
      <c r="H71" s="6">
        <f>T71/100</f>
        <v>8.3699999999999997E-2</v>
      </c>
      <c r="I71" s="7">
        <f>U71</f>
        <v>0.21</v>
      </c>
      <c r="J71" s="6">
        <f>U71/100</f>
        <v>2.0999999999999999E-3</v>
      </c>
      <c r="K71" s="13">
        <f>G71-J71</f>
        <v>4.7399564838990396E-2</v>
      </c>
      <c r="T71">
        <v>8.3699999999999992</v>
      </c>
      <c r="U71">
        <v>0.21</v>
      </c>
      <c r="V71">
        <v>2.76</v>
      </c>
      <c r="W71">
        <v>-0.39</v>
      </c>
    </row>
    <row r="72" spans="1:23" ht="15" customHeight="1" x14ac:dyDescent="0.35">
      <c r="A72" s="3">
        <v>43465</v>
      </c>
      <c r="B72" s="4">
        <v>94.67</v>
      </c>
      <c r="C72" s="4">
        <v>96.9</v>
      </c>
      <c r="D72" s="4">
        <v>86.74</v>
      </c>
      <c r="E72" s="4">
        <v>91.92</v>
      </c>
      <c r="F72" s="4">
        <v>91.92</v>
      </c>
      <c r="G72" s="13">
        <f t="shared" si="2"/>
        <v>-2.7404507459528125E-2</v>
      </c>
      <c r="H72" s="6">
        <f>T72/100</f>
        <v>-9.5500000000000002E-2</v>
      </c>
      <c r="I72" s="7">
        <f>U72</f>
        <v>0.19</v>
      </c>
      <c r="J72" s="6">
        <f>U72/100</f>
        <v>1.9E-3</v>
      </c>
      <c r="K72" s="13">
        <f>G72-J72</f>
        <v>-2.9304507459528124E-2</v>
      </c>
      <c r="T72">
        <v>-9.5500000000000007</v>
      </c>
      <c r="U72">
        <v>0.19</v>
      </c>
      <c r="V72">
        <v>-2.31</v>
      </c>
      <c r="W72">
        <v>-1.92</v>
      </c>
    </row>
    <row r="73" spans="1:23" ht="15" customHeight="1" x14ac:dyDescent="0.35">
      <c r="A73" s="3">
        <v>43434</v>
      </c>
      <c r="B73" s="4">
        <v>88.81</v>
      </c>
      <c r="C73" s="4">
        <v>94.81</v>
      </c>
      <c r="D73" s="4">
        <v>88.18</v>
      </c>
      <c r="E73" s="4">
        <v>94.51</v>
      </c>
      <c r="F73" s="4">
        <v>94.51</v>
      </c>
      <c r="G73" s="13">
        <f t="shared" si="2"/>
        <v>6.5741993685160108E-2</v>
      </c>
      <c r="H73" s="6">
        <f>T73/100</f>
        <v>1.7100000000000001E-2</v>
      </c>
      <c r="I73" s="7">
        <f>U73</f>
        <v>0.18</v>
      </c>
      <c r="J73" s="6">
        <f>U73/100</f>
        <v>1.8E-3</v>
      </c>
      <c r="K73" s="13">
        <f>G73-J73</f>
        <v>6.3941993685160112E-2</v>
      </c>
      <c r="T73">
        <v>1.71</v>
      </c>
      <c r="U73">
        <v>0.18</v>
      </c>
      <c r="V73">
        <v>-0.73</v>
      </c>
      <c r="W73">
        <v>0.36</v>
      </c>
    </row>
    <row r="74" spans="1:23" ht="15" customHeight="1" x14ac:dyDescent="0.35">
      <c r="A74" s="3">
        <v>43404</v>
      </c>
      <c r="B74" s="4">
        <v>83.31</v>
      </c>
      <c r="C74" s="4">
        <v>90.7</v>
      </c>
      <c r="D74" s="4">
        <v>78.489999999999995</v>
      </c>
      <c r="E74" s="4">
        <v>88.68</v>
      </c>
      <c r="F74" s="4">
        <v>88.68</v>
      </c>
      <c r="G74" s="13">
        <f t="shared" si="2"/>
        <v>6.5481196683888049E-2</v>
      </c>
      <c r="H74" s="6">
        <f>T74/100</f>
        <v>-7.6499999999999999E-2</v>
      </c>
      <c r="I74" s="7">
        <f>U74</f>
        <v>0.19</v>
      </c>
      <c r="J74" s="6">
        <f>U74/100</f>
        <v>1.9E-3</v>
      </c>
      <c r="K74" s="13">
        <f>G74-J74</f>
        <v>6.358119668388805E-2</v>
      </c>
      <c r="T74">
        <v>-7.65</v>
      </c>
      <c r="U74">
        <v>0.19</v>
      </c>
      <c r="V74">
        <v>-4.7</v>
      </c>
      <c r="W74">
        <v>3.38</v>
      </c>
    </row>
    <row r="75" spans="1:23" ht="15" customHeight="1" x14ac:dyDescent="0.35">
      <c r="A75" s="3">
        <v>43373</v>
      </c>
      <c r="B75" s="4">
        <v>82.48</v>
      </c>
      <c r="C75" s="4">
        <v>86.28</v>
      </c>
      <c r="D75" s="4">
        <v>81.25</v>
      </c>
      <c r="E75" s="4">
        <v>83.23</v>
      </c>
      <c r="F75" s="4">
        <v>83.23</v>
      </c>
      <c r="G75" s="13">
        <f t="shared" si="2"/>
        <v>3.3755274261603511E-3</v>
      </c>
      <c r="H75" s="6">
        <f>T75/100</f>
        <v>5.9999999999999995E-4</v>
      </c>
      <c r="I75" s="7">
        <f>U75</f>
        <v>0.15</v>
      </c>
      <c r="J75" s="6">
        <f>U75/100</f>
        <v>1.5E-3</v>
      </c>
      <c r="K75" s="13">
        <f>G75-J75</f>
        <v>1.875527426160351E-3</v>
      </c>
      <c r="T75">
        <v>0.06</v>
      </c>
      <c r="U75">
        <v>0.15</v>
      </c>
      <c r="V75">
        <v>-2.29</v>
      </c>
      <c r="W75">
        <v>-1.62</v>
      </c>
    </row>
    <row r="76" spans="1:23" ht="15" customHeight="1" x14ac:dyDescent="0.35">
      <c r="A76" s="3">
        <v>43343</v>
      </c>
      <c r="B76" s="4">
        <v>80.42</v>
      </c>
      <c r="C76" s="4">
        <v>84.2</v>
      </c>
      <c r="D76" s="4">
        <v>80.11</v>
      </c>
      <c r="E76" s="4">
        <v>82.95</v>
      </c>
      <c r="F76" s="4">
        <v>82.95</v>
      </c>
      <c r="G76" s="13">
        <f t="shared" si="2"/>
        <v>2.5593471810089113E-2</v>
      </c>
      <c r="H76" s="6">
        <f>T76/100</f>
        <v>3.4500000000000003E-2</v>
      </c>
      <c r="I76" s="7">
        <f>U76</f>
        <v>0.16</v>
      </c>
      <c r="J76" s="6">
        <f>U76/100</f>
        <v>1.6000000000000001E-3</v>
      </c>
      <c r="K76" s="13">
        <f>G76-J76</f>
        <v>2.3993471810089113E-2</v>
      </c>
      <c r="T76">
        <v>3.45</v>
      </c>
      <c r="U76">
        <v>0.16</v>
      </c>
      <c r="V76">
        <v>1.1399999999999999</v>
      </c>
      <c r="W76">
        <v>-3.91</v>
      </c>
    </row>
    <row r="77" spans="1:23" ht="15" customHeight="1" x14ac:dyDescent="0.35">
      <c r="A77" s="3">
        <v>43312</v>
      </c>
      <c r="B77" s="4">
        <v>77.5</v>
      </c>
      <c r="C77" s="4">
        <v>80.98</v>
      </c>
      <c r="D77" s="4">
        <v>77.42</v>
      </c>
      <c r="E77" s="4">
        <v>80.88</v>
      </c>
      <c r="F77" s="4">
        <v>80.88</v>
      </c>
      <c r="G77" s="13">
        <f t="shared" si="2"/>
        <v>3.6126056879323507E-2</v>
      </c>
      <c r="H77" s="6">
        <f>T77/100</f>
        <v>3.2000000000000001E-2</v>
      </c>
      <c r="I77" s="7">
        <f>U77</f>
        <v>0.16</v>
      </c>
      <c r="J77" s="6">
        <f>U77/100</f>
        <v>1.6000000000000001E-3</v>
      </c>
      <c r="K77" s="13">
        <f>G77-J77</f>
        <v>3.4526056879323509E-2</v>
      </c>
      <c r="T77">
        <v>3.2</v>
      </c>
      <c r="U77">
        <v>0.16</v>
      </c>
      <c r="V77">
        <v>-2.23</v>
      </c>
      <c r="W77">
        <v>0.49</v>
      </c>
    </row>
    <row r="78" spans="1:23" ht="15" customHeight="1" x14ac:dyDescent="0.35">
      <c r="A78" s="3">
        <v>43281</v>
      </c>
      <c r="B78" s="4">
        <v>73.33</v>
      </c>
      <c r="C78" s="4">
        <v>78.709999999999994</v>
      </c>
      <c r="D78" s="4">
        <v>72.86</v>
      </c>
      <c r="E78" s="4">
        <v>78.06</v>
      </c>
      <c r="F78" s="4">
        <v>78.06</v>
      </c>
      <c r="G78" s="13">
        <f t="shared" si="2"/>
        <v>6.6830668306683078E-2</v>
      </c>
      <c r="H78" s="6">
        <f>T78/100</f>
        <v>4.8999999999999998E-3</v>
      </c>
      <c r="I78" s="7">
        <f>U78</f>
        <v>0.14000000000000001</v>
      </c>
      <c r="J78" s="6">
        <f>U78/100</f>
        <v>1.4000000000000002E-3</v>
      </c>
      <c r="K78" s="13">
        <f>G78-J78</f>
        <v>6.5430668306683079E-2</v>
      </c>
      <c r="T78">
        <v>0.49</v>
      </c>
      <c r="U78">
        <v>0.14000000000000001</v>
      </c>
      <c r="V78">
        <v>1.1100000000000001</v>
      </c>
      <c r="W78">
        <v>-2.33</v>
      </c>
    </row>
    <row r="79" spans="1:23" ht="15" customHeight="1" x14ac:dyDescent="0.35">
      <c r="A79" s="3">
        <v>43251</v>
      </c>
      <c r="B79" s="4">
        <v>72.05</v>
      </c>
      <c r="C79" s="4">
        <v>75.02</v>
      </c>
      <c r="D79" s="4">
        <v>70.73</v>
      </c>
      <c r="E79" s="4">
        <v>73.17</v>
      </c>
      <c r="F79" s="4">
        <v>73.17</v>
      </c>
      <c r="G79" s="13">
        <f t="shared" si="2"/>
        <v>1.1473596903511173E-2</v>
      </c>
      <c r="H79" s="6">
        <f>T79/100</f>
        <v>2.6600000000000002E-2</v>
      </c>
      <c r="I79" s="7">
        <f>U79</f>
        <v>0.14000000000000001</v>
      </c>
      <c r="J79" s="6">
        <f>U79/100</f>
        <v>1.4000000000000002E-3</v>
      </c>
      <c r="K79" s="13">
        <f>G79-J79</f>
        <v>1.0073596903511173E-2</v>
      </c>
      <c r="T79">
        <v>2.66</v>
      </c>
      <c r="U79">
        <v>0.14000000000000001</v>
      </c>
      <c r="V79">
        <v>5.24</v>
      </c>
      <c r="W79">
        <v>-3.14</v>
      </c>
    </row>
    <row r="80" spans="1:23" ht="15" customHeight="1" x14ac:dyDescent="0.35">
      <c r="A80" s="3">
        <v>43220</v>
      </c>
      <c r="B80" s="4">
        <v>79.260000000000005</v>
      </c>
      <c r="C80" s="4">
        <v>79.52</v>
      </c>
      <c r="D80" s="4">
        <v>71.95</v>
      </c>
      <c r="E80" s="4">
        <v>72.34</v>
      </c>
      <c r="F80" s="4">
        <v>72.34</v>
      </c>
      <c r="G80" s="13">
        <f t="shared" si="2"/>
        <v>-8.7537840565085748E-2</v>
      </c>
      <c r="H80" s="6">
        <f>T80/100</f>
        <v>2.7000000000000001E-3</v>
      </c>
      <c r="I80" s="7">
        <f>U80</f>
        <v>0.14000000000000001</v>
      </c>
      <c r="J80" s="6">
        <f>U80/100</f>
        <v>1.4000000000000002E-3</v>
      </c>
      <c r="K80" s="13">
        <f>G80-J80</f>
        <v>-8.8937840565085746E-2</v>
      </c>
      <c r="T80">
        <v>0.27</v>
      </c>
      <c r="U80">
        <v>0.14000000000000001</v>
      </c>
      <c r="V80">
        <v>1.0900000000000001</v>
      </c>
      <c r="W80">
        <v>0.53</v>
      </c>
    </row>
    <row r="81" spans="1:23" ht="15" customHeight="1" x14ac:dyDescent="0.35">
      <c r="A81" s="3">
        <v>43190</v>
      </c>
      <c r="B81" s="4">
        <v>78.400000000000006</v>
      </c>
      <c r="C81" s="4">
        <v>80.75</v>
      </c>
      <c r="D81" s="4">
        <v>75.81</v>
      </c>
      <c r="E81" s="4">
        <v>79.28</v>
      </c>
      <c r="F81" s="4">
        <v>79.28</v>
      </c>
      <c r="G81" s="13">
        <f t="shared" si="2"/>
        <v>9.6790626591951746E-3</v>
      </c>
      <c r="H81" s="6">
        <f>T81/100</f>
        <v>-2.35E-2</v>
      </c>
      <c r="I81" s="7">
        <f>U81</f>
        <v>0.12</v>
      </c>
      <c r="J81" s="6">
        <f>U81/100</f>
        <v>1.1999999999999999E-3</v>
      </c>
      <c r="K81" s="13">
        <f>G81-J81</f>
        <v>8.4790626591951749E-3</v>
      </c>
      <c r="T81">
        <v>-2.35</v>
      </c>
      <c r="U81">
        <v>0.12</v>
      </c>
      <c r="V81">
        <v>4.05</v>
      </c>
      <c r="W81">
        <v>-0.21</v>
      </c>
    </row>
    <row r="82" spans="1:23" ht="15" customHeight="1" x14ac:dyDescent="0.35">
      <c r="A82" s="3">
        <v>43159</v>
      </c>
      <c r="B82" s="4">
        <v>86.15</v>
      </c>
      <c r="C82" s="4">
        <v>86.5</v>
      </c>
      <c r="D82" s="4">
        <v>78.5</v>
      </c>
      <c r="E82" s="4">
        <v>78.52</v>
      </c>
      <c r="F82" s="4">
        <v>78.52</v>
      </c>
      <c r="G82" s="13">
        <f t="shared" si="2"/>
        <v>-9.0572156590224773E-2</v>
      </c>
      <c r="H82" s="6">
        <f>T82/100</f>
        <v>-3.6400000000000002E-2</v>
      </c>
      <c r="I82" s="7">
        <f>U82</f>
        <v>0.11</v>
      </c>
      <c r="J82" s="6">
        <f>U82/100</f>
        <v>1.1000000000000001E-3</v>
      </c>
      <c r="K82" s="13">
        <f>G82-J82</f>
        <v>-9.1672156590224776E-2</v>
      </c>
      <c r="T82">
        <v>-3.64</v>
      </c>
      <c r="U82">
        <v>0.11</v>
      </c>
      <c r="V82">
        <v>0.27</v>
      </c>
      <c r="W82">
        <v>-1.1000000000000001</v>
      </c>
    </row>
    <row r="83" spans="1:23" ht="15" customHeight="1" x14ac:dyDescent="0.35">
      <c r="A83" s="3">
        <v>43131</v>
      </c>
      <c r="B83" s="4">
        <v>91.92</v>
      </c>
      <c r="C83" s="4">
        <v>91.93</v>
      </c>
      <c r="D83" s="4">
        <v>86.08</v>
      </c>
      <c r="E83" s="4">
        <v>86.34</v>
      </c>
      <c r="F83" s="4">
        <v>86.34</v>
      </c>
      <c r="G83" s="13">
        <f t="shared" si="2"/>
        <v>-6.0296038310840142E-2</v>
      </c>
      <c r="H83" s="6">
        <f>T83/100</f>
        <v>5.5800000000000002E-2</v>
      </c>
      <c r="I83" s="7">
        <f>U83</f>
        <v>0.11</v>
      </c>
      <c r="J83" s="6">
        <f>U83/100</f>
        <v>1.1000000000000001E-3</v>
      </c>
      <c r="K83" s="13">
        <f>G83-J83</f>
        <v>-6.1396038310840138E-2</v>
      </c>
      <c r="T83">
        <v>5.58</v>
      </c>
      <c r="U83">
        <v>0.11</v>
      </c>
      <c r="V83">
        <v>-3.16</v>
      </c>
      <c r="W83">
        <v>-1.32</v>
      </c>
    </row>
    <row r="84" spans="1:23" ht="15" customHeight="1" x14ac:dyDescent="0.35">
      <c r="A84" s="3">
        <v>43100</v>
      </c>
      <c r="B84" s="4">
        <v>90.18</v>
      </c>
      <c r="C84" s="4">
        <v>93.14</v>
      </c>
      <c r="D84" s="4">
        <v>89.12</v>
      </c>
      <c r="E84" s="4">
        <v>91.88</v>
      </c>
      <c r="F84" s="4">
        <v>91.88</v>
      </c>
      <c r="G84" s="13">
        <f t="shared" si="2"/>
        <v>2.1002333592621408E-2</v>
      </c>
      <c r="H84" s="6">
        <f>T84/100</f>
        <v>1.06E-2</v>
      </c>
      <c r="I84" s="7">
        <f>U84</f>
        <v>0.09</v>
      </c>
      <c r="J84" s="6">
        <f>U84/100</f>
        <v>8.9999999999999998E-4</v>
      </c>
      <c r="K84" s="13">
        <f>G84-J84</f>
        <v>2.0102333592621407E-2</v>
      </c>
      <c r="T84">
        <v>1.06</v>
      </c>
      <c r="U84">
        <v>0.09</v>
      </c>
      <c r="V84">
        <v>-1.32</v>
      </c>
      <c r="W84">
        <v>0.05</v>
      </c>
    </row>
    <row r="85" spans="1:23" ht="15" customHeight="1" x14ac:dyDescent="0.35">
      <c r="A85" s="3">
        <v>43069</v>
      </c>
      <c r="B85" s="4">
        <v>86.33</v>
      </c>
      <c r="C85" s="4">
        <v>90.37</v>
      </c>
      <c r="D85" s="4">
        <v>85.42</v>
      </c>
      <c r="E85" s="4">
        <v>89.99</v>
      </c>
      <c r="F85" s="4">
        <v>89.99</v>
      </c>
      <c r="G85" s="13">
        <f t="shared" si="2"/>
        <v>4.2274727820245439E-2</v>
      </c>
      <c r="H85" s="6">
        <f>T85/100</f>
        <v>3.1200000000000002E-2</v>
      </c>
      <c r="I85" s="7">
        <f>U85</f>
        <v>0.08</v>
      </c>
      <c r="J85" s="6">
        <f>U85/100</f>
        <v>8.0000000000000004E-4</v>
      </c>
      <c r="K85" s="13">
        <f>G85-J85</f>
        <v>4.1474727820245437E-2</v>
      </c>
      <c r="T85">
        <v>3.12</v>
      </c>
      <c r="U85">
        <v>0.08</v>
      </c>
      <c r="V85">
        <v>-0.6</v>
      </c>
      <c r="W85">
        <v>-0.09</v>
      </c>
    </row>
    <row r="86" spans="1:23" ht="15" customHeight="1" x14ac:dyDescent="0.35">
      <c r="A86" s="3">
        <v>43039</v>
      </c>
      <c r="B86" s="4">
        <v>91.26</v>
      </c>
      <c r="C86" s="4">
        <v>93.51</v>
      </c>
      <c r="D86" s="4">
        <v>85.72</v>
      </c>
      <c r="E86" s="4">
        <v>86.34</v>
      </c>
      <c r="F86" s="4">
        <v>86.34</v>
      </c>
      <c r="G86" s="13">
        <f t="shared" si="2"/>
        <v>-5.1000219828533748E-2</v>
      </c>
      <c r="H86" s="6">
        <f>T86/100</f>
        <v>2.2599999999999999E-2</v>
      </c>
      <c r="I86" s="7">
        <f>U86</f>
        <v>0.09</v>
      </c>
      <c r="J86" s="6">
        <f>U86/100</f>
        <v>8.9999999999999998E-4</v>
      </c>
      <c r="K86" s="13">
        <f>G86-J86</f>
        <v>-5.1900219828533746E-2</v>
      </c>
      <c r="T86">
        <v>2.2599999999999998</v>
      </c>
      <c r="U86">
        <v>0.09</v>
      </c>
      <c r="V86">
        <v>-1.93</v>
      </c>
      <c r="W86">
        <v>0.13</v>
      </c>
    </row>
    <row r="87" spans="1:23" ht="15" customHeight="1" x14ac:dyDescent="0.35">
      <c r="A87" s="3">
        <v>43008</v>
      </c>
      <c r="B87" s="4">
        <v>92.42</v>
      </c>
      <c r="C87" s="4">
        <v>94.67</v>
      </c>
      <c r="D87" s="4">
        <v>90.34</v>
      </c>
      <c r="E87" s="4">
        <v>90.98</v>
      </c>
      <c r="F87" s="4">
        <v>90.98</v>
      </c>
      <c r="G87" s="13">
        <f t="shared" si="2"/>
        <v>-1.3980708789422262E-2</v>
      </c>
      <c r="H87" s="6">
        <f>T87/100</f>
        <v>2.4900000000000002E-2</v>
      </c>
      <c r="I87" s="7">
        <f>U87</f>
        <v>0.09</v>
      </c>
      <c r="J87" s="6">
        <f>U87/100</f>
        <v>8.9999999999999998E-4</v>
      </c>
      <c r="K87" s="13">
        <f>G87-J87</f>
        <v>-1.4880708789422261E-2</v>
      </c>
      <c r="T87">
        <v>2.4900000000000002</v>
      </c>
      <c r="U87">
        <v>0.09</v>
      </c>
      <c r="V87">
        <v>4.45</v>
      </c>
      <c r="W87">
        <v>3.15</v>
      </c>
    </row>
    <row r="88" spans="1:23" ht="15" customHeight="1" x14ac:dyDescent="0.35">
      <c r="A88" s="3">
        <v>42978</v>
      </c>
      <c r="B88" s="4">
        <v>91.03</v>
      </c>
      <c r="C88" s="4">
        <v>92.96</v>
      </c>
      <c r="D88" s="4">
        <v>90.52</v>
      </c>
      <c r="E88" s="4">
        <v>92.27</v>
      </c>
      <c r="F88" s="4">
        <v>92.27</v>
      </c>
      <c r="G88" s="13">
        <f t="shared" si="2"/>
        <v>1.5965646333406771E-2</v>
      </c>
      <c r="H88" s="6">
        <f>T88/100</f>
        <v>1.8E-3</v>
      </c>
      <c r="I88" s="7">
        <f>U88</f>
        <v>0.09</v>
      </c>
      <c r="J88" s="6">
        <f>U88/100</f>
        <v>8.9999999999999998E-4</v>
      </c>
      <c r="K88" s="13">
        <f>G88-J88</f>
        <v>1.5065646333406771E-2</v>
      </c>
      <c r="T88">
        <v>0.18</v>
      </c>
      <c r="U88">
        <v>0.09</v>
      </c>
      <c r="V88">
        <v>-1.67</v>
      </c>
      <c r="W88">
        <v>-2.13</v>
      </c>
    </row>
    <row r="89" spans="1:23" ht="15" customHeight="1" x14ac:dyDescent="0.35">
      <c r="A89" s="3">
        <v>42947</v>
      </c>
      <c r="B89" s="4">
        <v>87.4</v>
      </c>
      <c r="C89" s="4">
        <v>91.07</v>
      </c>
      <c r="D89" s="4">
        <v>86.31</v>
      </c>
      <c r="E89" s="4">
        <v>90.82</v>
      </c>
      <c r="F89" s="4">
        <v>90.82</v>
      </c>
      <c r="G89" s="13">
        <f t="shared" si="2"/>
        <v>4.211130235226606E-2</v>
      </c>
      <c r="H89" s="6">
        <f>T89/100</f>
        <v>1.8799999999999997E-2</v>
      </c>
      <c r="I89" s="7">
        <f>U89</f>
        <v>7.0000000000000007E-2</v>
      </c>
      <c r="J89" s="6">
        <f>U89/100</f>
        <v>7.000000000000001E-4</v>
      </c>
      <c r="K89" s="13">
        <f>G89-J89</f>
        <v>4.1411302352266061E-2</v>
      </c>
      <c r="T89">
        <v>1.88</v>
      </c>
      <c r="U89">
        <v>7.0000000000000007E-2</v>
      </c>
      <c r="V89">
        <v>-1.45</v>
      </c>
      <c r="W89">
        <v>-0.23</v>
      </c>
    </row>
    <row r="90" spans="1:23" ht="15" customHeight="1" x14ac:dyDescent="0.35">
      <c r="A90" s="3">
        <v>42916</v>
      </c>
      <c r="B90" s="4">
        <v>88.02</v>
      </c>
      <c r="C90" s="4">
        <v>90.21</v>
      </c>
      <c r="D90" s="4">
        <v>86.93</v>
      </c>
      <c r="E90" s="4">
        <v>87.15</v>
      </c>
      <c r="F90" s="4">
        <v>87.15</v>
      </c>
      <c r="G90" s="13">
        <f t="shared" si="2"/>
        <v>-1.0670904756499009E-2</v>
      </c>
      <c r="H90" s="6">
        <f>T90/100</f>
        <v>7.9000000000000008E-3</v>
      </c>
      <c r="I90" s="7">
        <f>U90</f>
        <v>0.06</v>
      </c>
      <c r="J90" s="6">
        <f>U90/100</f>
        <v>5.9999999999999995E-4</v>
      </c>
      <c r="K90" s="13">
        <f>G90-J90</f>
        <v>-1.1270904756499009E-2</v>
      </c>
      <c r="T90">
        <v>0.79</v>
      </c>
      <c r="U90">
        <v>0.06</v>
      </c>
      <c r="V90">
        <v>2.21</v>
      </c>
      <c r="W90">
        <v>1.5</v>
      </c>
    </row>
    <row r="91" spans="1:23" ht="15" customHeight="1" x14ac:dyDescent="0.35">
      <c r="A91" s="3">
        <v>42886</v>
      </c>
      <c r="B91" s="4">
        <v>87.38</v>
      </c>
      <c r="C91" s="4">
        <v>88.35</v>
      </c>
      <c r="D91" s="4">
        <v>85.52</v>
      </c>
      <c r="E91" s="4">
        <v>88.09</v>
      </c>
      <c r="F91" s="4">
        <v>88.09</v>
      </c>
      <c r="G91" s="13">
        <f t="shared" si="2"/>
        <v>8.7026222374900399E-3</v>
      </c>
      <c r="H91" s="6">
        <f>T91/100</f>
        <v>1.0700000000000001E-2</v>
      </c>
      <c r="I91" s="7">
        <f>U91</f>
        <v>0.06</v>
      </c>
      <c r="J91" s="6">
        <f>U91/100</f>
        <v>5.9999999999999995E-4</v>
      </c>
      <c r="K91" s="13">
        <f>G91-J91</f>
        <v>8.1026222374900401E-3</v>
      </c>
      <c r="T91">
        <v>1.07</v>
      </c>
      <c r="U91">
        <v>0.06</v>
      </c>
      <c r="V91">
        <v>-2.52</v>
      </c>
      <c r="W91">
        <v>-3.82</v>
      </c>
    </row>
    <row r="92" spans="1:23" ht="15" customHeight="1" x14ac:dyDescent="0.35">
      <c r="A92" s="3">
        <v>42855</v>
      </c>
      <c r="B92" s="4">
        <v>89.86</v>
      </c>
      <c r="C92" s="4">
        <v>91.13</v>
      </c>
      <c r="D92" s="4">
        <v>87.15</v>
      </c>
      <c r="E92" s="4">
        <v>87.33</v>
      </c>
      <c r="F92" s="4">
        <v>87.33</v>
      </c>
      <c r="G92" s="13">
        <f t="shared" si="2"/>
        <v>-2.804674457429044E-2</v>
      </c>
      <c r="H92" s="6">
        <f>T92/100</f>
        <v>1.0800000000000001E-2</v>
      </c>
      <c r="I92" s="7">
        <f>U92</f>
        <v>0.05</v>
      </c>
      <c r="J92" s="6">
        <f>U92/100</f>
        <v>5.0000000000000001E-4</v>
      </c>
      <c r="K92" s="13">
        <f>G92-J92</f>
        <v>-2.854674457429044E-2</v>
      </c>
      <c r="T92">
        <v>1.08</v>
      </c>
      <c r="U92">
        <v>0.05</v>
      </c>
      <c r="V92">
        <v>0.66</v>
      </c>
      <c r="W92">
        <v>-2.0499999999999998</v>
      </c>
    </row>
    <row r="93" spans="1:23" ht="15" customHeight="1" x14ac:dyDescent="0.35">
      <c r="A93" s="3">
        <v>42825</v>
      </c>
      <c r="B93" s="4">
        <v>91.05</v>
      </c>
      <c r="C93" s="4">
        <v>92</v>
      </c>
      <c r="D93" s="4">
        <v>89.59</v>
      </c>
      <c r="E93" s="4">
        <v>89.85</v>
      </c>
      <c r="F93" s="4">
        <v>89.85</v>
      </c>
      <c r="G93" s="13">
        <f t="shared" si="2"/>
        <v>-1.3396288569232447E-2</v>
      </c>
      <c r="H93" s="6">
        <f>T93/100</f>
        <v>1.7000000000000001E-3</v>
      </c>
      <c r="I93" s="7">
        <f>U93</f>
        <v>0.03</v>
      </c>
      <c r="J93" s="6">
        <f>U93/100</f>
        <v>2.9999999999999997E-4</v>
      </c>
      <c r="K93" s="13">
        <f>G93-J93</f>
        <v>-1.3696288569232447E-2</v>
      </c>
      <c r="T93">
        <v>0.17</v>
      </c>
      <c r="U93">
        <v>0.03</v>
      </c>
      <c r="V93">
        <v>1.1299999999999999</v>
      </c>
      <c r="W93">
        <v>-3.33</v>
      </c>
    </row>
    <row r="94" spans="1:23" ht="15" customHeight="1" x14ac:dyDescent="0.35">
      <c r="A94" s="3">
        <v>42794</v>
      </c>
      <c r="B94" s="4">
        <v>87.03</v>
      </c>
      <c r="C94" s="4">
        <v>91.8</v>
      </c>
      <c r="D94" s="4">
        <v>86.75</v>
      </c>
      <c r="E94" s="4">
        <v>91.07</v>
      </c>
      <c r="F94" s="4">
        <v>91.07</v>
      </c>
      <c r="G94" s="13">
        <f t="shared" si="2"/>
        <v>3.9611872146118714E-2</v>
      </c>
      <c r="H94" s="6">
        <f>T94/100</f>
        <v>3.5499999999999997E-2</v>
      </c>
      <c r="I94" s="7">
        <f>U94</f>
        <v>0.04</v>
      </c>
      <c r="J94" s="6">
        <f>U94/100</f>
        <v>4.0000000000000002E-4</v>
      </c>
      <c r="K94" s="13">
        <f>G94-J94</f>
        <v>3.9211872146118716E-2</v>
      </c>
      <c r="T94">
        <v>3.55</v>
      </c>
      <c r="U94">
        <v>0.04</v>
      </c>
      <c r="V94">
        <v>-2.15</v>
      </c>
      <c r="W94">
        <v>-1.5</v>
      </c>
    </row>
    <row r="95" spans="1:23" ht="15" customHeight="1" x14ac:dyDescent="0.35">
      <c r="A95" s="3">
        <v>42766</v>
      </c>
      <c r="B95" s="4">
        <v>83.88</v>
      </c>
      <c r="C95" s="4">
        <v>87.98</v>
      </c>
      <c r="D95" s="4">
        <v>83.24</v>
      </c>
      <c r="E95" s="4">
        <v>87.6</v>
      </c>
      <c r="F95" s="4">
        <v>87.6</v>
      </c>
      <c r="G95" s="13">
        <f t="shared" si="2"/>
        <v>4.1864890580399571E-2</v>
      </c>
      <c r="H95" s="6">
        <f>T95/100</f>
        <v>1.9400000000000001E-2</v>
      </c>
      <c r="I95" s="7">
        <f>U95</f>
        <v>0.04</v>
      </c>
      <c r="J95" s="6">
        <f>U95/100</f>
        <v>4.0000000000000002E-4</v>
      </c>
      <c r="K95" s="13">
        <f>G95-J95</f>
        <v>4.1464890580399573E-2</v>
      </c>
      <c r="T95">
        <v>1.94</v>
      </c>
      <c r="U95">
        <v>0.04</v>
      </c>
      <c r="V95">
        <v>-1.1599999999999999</v>
      </c>
      <c r="W95">
        <v>-2.76</v>
      </c>
    </row>
    <row r="96" spans="1:23" ht="15" customHeight="1" x14ac:dyDescent="0.35">
      <c r="A96" s="3">
        <v>42735</v>
      </c>
      <c r="B96" s="4">
        <v>82.21</v>
      </c>
      <c r="C96" s="4">
        <v>85.74</v>
      </c>
      <c r="D96" s="4">
        <v>81.180000000000007</v>
      </c>
      <c r="E96" s="4">
        <v>84.08</v>
      </c>
      <c r="F96" s="4">
        <v>84.08</v>
      </c>
      <c r="G96" s="13">
        <f t="shared" si="2"/>
        <v>1.9645888915838038E-2</v>
      </c>
      <c r="H96" s="6">
        <f>T96/100</f>
        <v>1.8100000000000002E-2</v>
      </c>
      <c r="I96" s="7">
        <f>U96</f>
        <v>0.03</v>
      </c>
      <c r="J96" s="6">
        <f>U96/100</f>
        <v>2.9999999999999997E-4</v>
      </c>
      <c r="K96" s="13">
        <f>G96-J96</f>
        <v>1.9345888915838036E-2</v>
      </c>
      <c r="T96">
        <v>1.81</v>
      </c>
      <c r="U96">
        <v>0.03</v>
      </c>
      <c r="V96">
        <v>0.14000000000000001</v>
      </c>
      <c r="W96">
        <v>3.47</v>
      </c>
    </row>
    <row r="97" spans="1:23" ht="15" customHeight="1" x14ac:dyDescent="0.35">
      <c r="A97" s="3">
        <v>42704</v>
      </c>
      <c r="B97" s="4">
        <v>86.58</v>
      </c>
      <c r="C97" s="4">
        <v>87.69</v>
      </c>
      <c r="D97" s="4">
        <v>81.709999999999994</v>
      </c>
      <c r="E97" s="4">
        <v>82.46</v>
      </c>
      <c r="F97" s="4">
        <v>82.46</v>
      </c>
      <c r="G97" s="13">
        <f t="shared" si="2"/>
        <v>-5.0000000000000037E-2</v>
      </c>
      <c r="H97" s="6">
        <f>T97/100</f>
        <v>4.8600000000000004E-2</v>
      </c>
      <c r="I97" s="7">
        <f>U97</f>
        <v>0.01</v>
      </c>
      <c r="J97" s="6">
        <f>U97/100</f>
        <v>1E-4</v>
      </c>
      <c r="K97" s="13">
        <f>G97-J97</f>
        <v>-5.010000000000004E-2</v>
      </c>
      <c r="T97">
        <v>4.8600000000000003</v>
      </c>
      <c r="U97">
        <v>0.01</v>
      </c>
      <c r="V97">
        <v>5.6</v>
      </c>
      <c r="W97">
        <v>8.2899999999999991</v>
      </c>
    </row>
    <row r="98" spans="1:23" ht="15" customHeight="1" x14ac:dyDescent="0.35">
      <c r="A98" s="3">
        <v>42674</v>
      </c>
      <c r="B98" s="4">
        <v>89.35</v>
      </c>
      <c r="C98" s="4">
        <v>90.33</v>
      </c>
      <c r="D98" s="4">
        <v>84.06</v>
      </c>
      <c r="E98" s="4">
        <v>86.8</v>
      </c>
      <c r="F98" s="4">
        <v>86.8</v>
      </c>
      <c r="G98" s="13">
        <f t="shared" ref="G98:G129" si="3">(F98-F99)/F99</f>
        <v>-3.2869080779944319E-2</v>
      </c>
      <c r="H98" s="6">
        <f>T98/100</f>
        <v>-2.0099999999999996E-2</v>
      </c>
      <c r="I98" s="7">
        <f>U98</f>
        <v>0.02</v>
      </c>
      <c r="J98" s="6">
        <f>U98/100</f>
        <v>2.0000000000000001E-4</v>
      </c>
      <c r="K98" s="13">
        <f>G98-J98</f>
        <v>-3.3069080779944318E-2</v>
      </c>
      <c r="T98">
        <v>-2.0099999999999998</v>
      </c>
      <c r="U98">
        <v>0.02</v>
      </c>
      <c r="V98">
        <v>-4.3899999999999997</v>
      </c>
      <c r="W98">
        <v>4.1100000000000003</v>
      </c>
    </row>
    <row r="99" spans="1:23" ht="15" customHeight="1" x14ac:dyDescent="0.35">
      <c r="A99" s="3">
        <v>42643</v>
      </c>
      <c r="B99" s="4">
        <v>87.36</v>
      </c>
      <c r="C99" s="4">
        <v>90.22</v>
      </c>
      <c r="D99" s="4">
        <v>85.96</v>
      </c>
      <c r="E99" s="4">
        <v>89.75</v>
      </c>
      <c r="F99" s="4">
        <v>89.75</v>
      </c>
      <c r="G99" s="13">
        <f t="shared" si="3"/>
        <v>2.7946397892566689E-2</v>
      </c>
      <c r="H99" s="6">
        <f>T99/100</f>
        <v>2.7000000000000001E-3</v>
      </c>
      <c r="I99" s="7">
        <f>U99</f>
        <v>0.02</v>
      </c>
      <c r="J99" s="6">
        <f>U99/100</f>
        <v>2.0000000000000001E-4</v>
      </c>
      <c r="K99" s="13">
        <f>G99-J99</f>
        <v>2.774639789256669E-2</v>
      </c>
      <c r="T99">
        <v>0.27</v>
      </c>
      <c r="U99">
        <v>0.02</v>
      </c>
      <c r="V99">
        <v>2.08</v>
      </c>
      <c r="W99">
        <v>-1.19</v>
      </c>
    </row>
    <row r="100" spans="1:23" ht="15" customHeight="1" x14ac:dyDescent="0.35">
      <c r="A100" s="3">
        <v>42613</v>
      </c>
      <c r="B100" s="4">
        <v>85.44</v>
      </c>
      <c r="C100" s="4">
        <v>88.5</v>
      </c>
      <c r="D100" s="4">
        <v>85.13</v>
      </c>
      <c r="E100" s="4">
        <v>87.31</v>
      </c>
      <c r="F100" s="4">
        <v>87.31</v>
      </c>
      <c r="G100" s="13">
        <f t="shared" si="3"/>
        <v>2.0095805584764561E-2</v>
      </c>
      <c r="H100" s="6">
        <f>T100/100</f>
        <v>4.8999999999999998E-3</v>
      </c>
      <c r="I100" s="7">
        <f>U100</f>
        <v>0.02</v>
      </c>
      <c r="J100" s="6">
        <f>U100/100</f>
        <v>2.0000000000000001E-4</v>
      </c>
      <c r="K100" s="13">
        <f>G100-J100</f>
        <v>1.9895805584764562E-2</v>
      </c>
      <c r="T100">
        <v>0.49</v>
      </c>
      <c r="U100">
        <v>0.02</v>
      </c>
      <c r="V100">
        <v>1.17</v>
      </c>
      <c r="W100">
        <v>3.17</v>
      </c>
    </row>
    <row r="101" spans="1:23" ht="15" customHeight="1" x14ac:dyDescent="0.35">
      <c r="A101" s="3">
        <v>42582</v>
      </c>
      <c r="B101" s="4">
        <v>84.52</v>
      </c>
      <c r="C101" s="4">
        <v>86.89</v>
      </c>
      <c r="D101" s="4">
        <v>84.32</v>
      </c>
      <c r="E101" s="4">
        <v>85.59</v>
      </c>
      <c r="F101" s="4">
        <v>85.59</v>
      </c>
      <c r="G101" s="13">
        <f t="shared" si="3"/>
        <v>1.0865713948269773E-2</v>
      </c>
      <c r="H101" s="6">
        <f>T101/100</f>
        <v>3.9399999999999998E-2</v>
      </c>
      <c r="I101" s="7">
        <f>U101</f>
        <v>0.02</v>
      </c>
      <c r="J101" s="6">
        <f>U101/100</f>
        <v>2.0000000000000001E-4</v>
      </c>
      <c r="K101" s="13">
        <f>G101-J101</f>
        <v>1.0665713948269772E-2</v>
      </c>
      <c r="T101">
        <v>3.94</v>
      </c>
      <c r="U101">
        <v>0.02</v>
      </c>
      <c r="V101">
        <v>2.4500000000000002</v>
      </c>
      <c r="W101">
        <v>-1.24</v>
      </c>
    </row>
    <row r="102" spans="1:23" ht="15" customHeight="1" x14ac:dyDescent="0.35">
      <c r="A102" s="3">
        <v>42551</v>
      </c>
      <c r="B102" s="4">
        <v>80.95</v>
      </c>
      <c r="C102" s="4">
        <v>84.8</v>
      </c>
      <c r="D102" s="4">
        <v>80.86</v>
      </c>
      <c r="E102" s="4">
        <v>84.67</v>
      </c>
      <c r="F102" s="4">
        <v>84.67</v>
      </c>
      <c r="G102" s="13">
        <f t="shared" si="3"/>
        <v>4.4792694965449104E-2</v>
      </c>
      <c r="H102" s="6">
        <f>T102/100</f>
        <v>-2.9999999999999997E-4</v>
      </c>
      <c r="I102" s="7">
        <f>U102</f>
        <v>0.02</v>
      </c>
      <c r="J102" s="6">
        <f>U102/100</f>
        <v>2.0000000000000001E-4</v>
      </c>
      <c r="K102" s="13">
        <f>G102-J102</f>
        <v>4.4592694965449105E-2</v>
      </c>
      <c r="T102">
        <v>-0.03</v>
      </c>
      <c r="U102">
        <v>0.02</v>
      </c>
      <c r="V102">
        <v>0.6</v>
      </c>
      <c r="W102">
        <v>-1.49</v>
      </c>
    </row>
    <row r="103" spans="1:23" ht="15" customHeight="1" x14ac:dyDescent="0.35">
      <c r="A103" s="3">
        <v>42521</v>
      </c>
      <c r="B103" s="4">
        <v>80.02</v>
      </c>
      <c r="C103" s="4">
        <v>82.89</v>
      </c>
      <c r="D103" s="4">
        <v>79.41</v>
      </c>
      <c r="E103" s="4">
        <v>81.040000000000006</v>
      </c>
      <c r="F103" s="4">
        <v>81.040000000000006</v>
      </c>
      <c r="G103" s="13">
        <f t="shared" si="3"/>
        <v>1.1482775836245651E-2</v>
      </c>
      <c r="H103" s="6">
        <f>T103/100</f>
        <v>1.78E-2</v>
      </c>
      <c r="I103" s="7">
        <f>U103</f>
        <v>0.01</v>
      </c>
      <c r="J103" s="6">
        <f>U103/100</f>
        <v>1E-4</v>
      </c>
      <c r="K103" s="13">
        <f>G103-J103</f>
        <v>1.1382775836245652E-2</v>
      </c>
      <c r="T103">
        <v>1.78</v>
      </c>
      <c r="U103">
        <v>0.01</v>
      </c>
      <c r="V103">
        <v>-0.18</v>
      </c>
      <c r="W103">
        <v>-1.62</v>
      </c>
    </row>
    <row r="104" spans="1:23" ht="15" customHeight="1" x14ac:dyDescent="0.35">
      <c r="A104" s="3">
        <v>42490</v>
      </c>
      <c r="B104" s="4">
        <v>82</v>
      </c>
      <c r="C104" s="4">
        <v>83.84</v>
      </c>
      <c r="D104" s="4">
        <v>79.099999999999994</v>
      </c>
      <c r="E104" s="4">
        <v>80.12</v>
      </c>
      <c r="F104" s="4">
        <v>80.12</v>
      </c>
      <c r="G104" s="13">
        <f t="shared" si="3"/>
        <v>-2.6606730652411585E-2</v>
      </c>
      <c r="H104" s="6">
        <f>T104/100</f>
        <v>9.1999999999999998E-3</v>
      </c>
      <c r="I104" s="7">
        <f>U104</f>
        <v>0.01</v>
      </c>
      <c r="J104" s="6">
        <f>U104/100</f>
        <v>1E-4</v>
      </c>
      <c r="K104" s="13">
        <f>G104-J104</f>
        <v>-2.6706730652411585E-2</v>
      </c>
      <c r="T104">
        <v>0.92</v>
      </c>
      <c r="U104">
        <v>0.01</v>
      </c>
      <c r="V104">
        <v>0.77</v>
      </c>
      <c r="W104">
        <v>3.22</v>
      </c>
    </row>
    <row r="105" spans="1:23" ht="15" customHeight="1" x14ac:dyDescent="0.35">
      <c r="A105" s="3">
        <v>42460</v>
      </c>
      <c r="B105" s="4">
        <v>80.540000000000006</v>
      </c>
      <c r="C105" s="4">
        <v>83.87</v>
      </c>
      <c r="D105" s="4">
        <v>80.48</v>
      </c>
      <c r="E105" s="4">
        <v>82.31</v>
      </c>
      <c r="F105" s="4">
        <v>82.31</v>
      </c>
      <c r="G105" s="13">
        <f t="shared" si="3"/>
        <v>2.5158799352347688E-2</v>
      </c>
      <c r="H105" s="6">
        <f>T105/100</f>
        <v>6.9500000000000006E-2</v>
      </c>
      <c r="I105" s="7">
        <f>U105</f>
        <v>0.02</v>
      </c>
      <c r="J105" s="6">
        <f>U105/100</f>
        <v>2.0000000000000001E-4</v>
      </c>
      <c r="K105" s="13">
        <f>G105-J105</f>
        <v>2.4958799352347689E-2</v>
      </c>
      <c r="T105">
        <v>6.95</v>
      </c>
      <c r="U105">
        <v>0.02</v>
      </c>
      <c r="V105">
        <v>0.75</v>
      </c>
      <c r="W105">
        <v>1.22</v>
      </c>
    </row>
    <row r="106" spans="1:23" ht="15" customHeight="1" x14ac:dyDescent="0.35">
      <c r="A106" s="3">
        <v>42429</v>
      </c>
      <c r="B106" s="4">
        <v>81.209999999999994</v>
      </c>
      <c r="C106" s="4">
        <v>83</v>
      </c>
      <c r="D106" s="4">
        <v>79.63</v>
      </c>
      <c r="E106" s="4">
        <v>80.290000000000006</v>
      </c>
      <c r="F106" s="4">
        <v>80.290000000000006</v>
      </c>
      <c r="G106" s="13">
        <f t="shared" si="3"/>
        <v>-1.7137960582690556E-2</v>
      </c>
      <c r="H106" s="6">
        <f>T106/100</f>
        <v>-5.9999999999999995E-4</v>
      </c>
      <c r="I106" s="7">
        <f>U106</f>
        <v>0.02</v>
      </c>
      <c r="J106" s="6">
        <f>U106/100</f>
        <v>2.0000000000000001E-4</v>
      </c>
      <c r="K106" s="13">
        <f>G106-J106</f>
        <v>-1.7337960582690555E-2</v>
      </c>
      <c r="T106">
        <v>-0.06</v>
      </c>
      <c r="U106">
        <v>0.02</v>
      </c>
      <c r="V106">
        <v>0.73</v>
      </c>
      <c r="W106">
        <v>-0.61</v>
      </c>
    </row>
    <row r="107" spans="1:23" ht="15" customHeight="1" x14ac:dyDescent="0.35">
      <c r="A107" s="3">
        <v>42400</v>
      </c>
      <c r="B107" s="4">
        <v>78.36</v>
      </c>
      <c r="C107" s="4">
        <v>82</v>
      </c>
      <c r="D107" s="4">
        <v>74.459999999999994</v>
      </c>
      <c r="E107" s="4">
        <v>81.69</v>
      </c>
      <c r="F107" s="4">
        <v>81.69</v>
      </c>
      <c r="G107" s="13">
        <f t="shared" si="3"/>
        <v>2.8711749149981126E-2</v>
      </c>
      <c r="H107" s="6">
        <f>T107/100</f>
        <v>-5.74E-2</v>
      </c>
      <c r="I107" s="7">
        <f>U107</f>
        <v>0.01</v>
      </c>
      <c r="J107" s="6">
        <f>U107/100</f>
        <v>1E-4</v>
      </c>
      <c r="K107" s="13">
        <f>G107-J107</f>
        <v>2.8611749149981127E-2</v>
      </c>
      <c r="T107">
        <v>-5.74</v>
      </c>
      <c r="U107">
        <v>0.01</v>
      </c>
      <c r="V107">
        <v>-3.4</v>
      </c>
      <c r="W107">
        <v>2.08</v>
      </c>
    </row>
    <row r="108" spans="1:23" ht="15" customHeight="1" x14ac:dyDescent="0.35">
      <c r="A108" s="3">
        <v>42369</v>
      </c>
      <c r="B108" s="4">
        <v>74.87</v>
      </c>
      <c r="C108" s="4">
        <v>81.23</v>
      </c>
      <c r="D108" s="4">
        <v>74.87</v>
      </c>
      <c r="E108" s="4">
        <v>79.41</v>
      </c>
      <c r="F108" s="4">
        <v>79.41</v>
      </c>
      <c r="G108" s="13">
        <f t="shared" si="3"/>
        <v>6.1063602351683496E-2</v>
      </c>
      <c r="H108" s="6">
        <f>T108/100</f>
        <v>-2.1499999999999998E-2</v>
      </c>
      <c r="I108" s="7">
        <f>U108</f>
        <v>0.01</v>
      </c>
      <c r="J108" s="6">
        <f>U108/100</f>
        <v>1E-4</v>
      </c>
      <c r="K108" s="13">
        <f>G108-J108</f>
        <v>6.0963602351683494E-2</v>
      </c>
      <c r="T108">
        <v>-2.15</v>
      </c>
      <c r="U108">
        <v>0.01</v>
      </c>
      <c r="V108">
        <v>-2.8</v>
      </c>
      <c r="W108">
        <v>-2.57</v>
      </c>
    </row>
    <row r="109" spans="1:23" ht="15" customHeight="1" x14ac:dyDescent="0.35">
      <c r="A109" s="3">
        <v>42338</v>
      </c>
      <c r="B109" s="4">
        <v>76.569999999999993</v>
      </c>
      <c r="C109" s="4">
        <v>77.42</v>
      </c>
      <c r="D109" s="4">
        <v>73.95</v>
      </c>
      <c r="E109" s="4">
        <v>74.84</v>
      </c>
      <c r="F109" s="4">
        <v>74.84</v>
      </c>
      <c r="G109" s="13">
        <f t="shared" si="3"/>
        <v>-2.0162346163917152E-2</v>
      </c>
      <c r="H109" s="6">
        <f>T109/100</f>
        <v>5.6999999999999993E-3</v>
      </c>
      <c r="I109" s="7">
        <f>U109</f>
        <v>0</v>
      </c>
      <c r="J109" s="6">
        <f>U109/100</f>
        <v>0</v>
      </c>
      <c r="K109" s="13">
        <f>G109-J109</f>
        <v>-2.0162346163917152E-2</v>
      </c>
      <c r="T109">
        <v>0.56999999999999995</v>
      </c>
      <c r="U109">
        <v>0</v>
      </c>
      <c r="V109">
        <v>3.58</v>
      </c>
      <c r="W109">
        <v>-0.43</v>
      </c>
    </row>
    <row r="110" spans="1:23" ht="15" customHeight="1" x14ac:dyDescent="0.35">
      <c r="A110" s="3">
        <v>42308</v>
      </c>
      <c r="B110" s="4">
        <v>71.760000000000005</v>
      </c>
      <c r="C110" s="4">
        <v>78.45</v>
      </c>
      <c r="D110" s="4">
        <v>71.290000000000006</v>
      </c>
      <c r="E110" s="4">
        <v>76.38</v>
      </c>
      <c r="F110" s="4">
        <v>76.38</v>
      </c>
      <c r="G110" s="13">
        <f t="shared" si="3"/>
        <v>6.171809841534609E-2</v>
      </c>
      <c r="H110" s="6">
        <f>T110/100</f>
        <v>7.7499999999999999E-2</v>
      </c>
      <c r="I110" s="7">
        <f>U110</f>
        <v>0</v>
      </c>
      <c r="J110" s="6">
        <f>U110/100</f>
        <v>0</v>
      </c>
      <c r="K110" s="13">
        <f>G110-J110</f>
        <v>6.171809841534609E-2</v>
      </c>
      <c r="T110">
        <v>7.75</v>
      </c>
      <c r="U110">
        <v>0</v>
      </c>
      <c r="V110">
        <v>-1.9</v>
      </c>
      <c r="W110">
        <v>-0.47</v>
      </c>
    </row>
    <row r="111" spans="1:23" ht="15" customHeight="1" x14ac:dyDescent="0.35">
      <c r="A111" s="3">
        <v>42277</v>
      </c>
      <c r="B111" s="4">
        <v>69.37</v>
      </c>
      <c r="C111" s="4">
        <v>73.38</v>
      </c>
      <c r="D111" s="4">
        <v>67.33</v>
      </c>
      <c r="E111" s="4">
        <v>71.94</v>
      </c>
      <c r="F111" s="4">
        <v>71.94</v>
      </c>
      <c r="G111" s="13">
        <f t="shared" si="3"/>
        <v>1.7970850431583359E-2</v>
      </c>
      <c r="H111" s="6">
        <f>T111/100</f>
        <v>-3.0600000000000002E-2</v>
      </c>
      <c r="I111" s="7">
        <f>U111</f>
        <v>0</v>
      </c>
      <c r="J111" s="6">
        <f>U111/100</f>
        <v>0</v>
      </c>
      <c r="K111" s="13">
        <f>G111-J111</f>
        <v>1.7970850431583359E-2</v>
      </c>
      <c r="T111">
        <v>-3.06</v>
      </c>
      <c r="U111">
        <v>0</v>
      </c>
      <c r="V111">
        <v>-2.63</v>
      </c>
      <c r="W111">
        <v>0.55000000000000004</v>
      </c>
    </row>
    <row r="112" spans="1:23" ht="15" customHeight="1" x14ac:dyDescent="0.35">
      <c r="A112" s="3">
        <v>42247</v>
      </c>
      <c r="B112" s="4">
        <v>76.510000000000005</v>
      </c>
      <c r="C112" s="4">
        <v>77.09</v>
      </c>
      <c r="D112" s="4">
        <v>65.02</v>
      </c>
      <c r="E112" s="4">
        <v>70.67</v>
      </c>
      <c r="F112" s="4">
        <v>70.67</v>
      </c>
      <c r="G112" s="13">
        <f t="shared" si="3"/>
        <v>-7.8617992177314217E-2</v>
      </c>
      <c r="H112" s="6">
        <f>T112/100</f>
        <v>-6.0199999999999997E-2</v>
      </c>
      <c r="I112" s="7">
        <f>U112</f>
        <v>0</v>
      </c>
      <c r="J112" s="6">
        <f>U112/100</f>
        <v>0</v>
      </c>
      <c r="K112" s="13">
        <f>G112-J112</f>
        <v>-7.8617992177314217E-2</v>
      </c>
      <c r="T112">
        <v>-6.02</v>
      </c>
      <c r="U112">
        <v>0</v>
      </c>
      <c r="V112">
        <v>0.37</v>
      </c>
      <c r="W112">
        <v>2.75</v>
      </c>
    </row>
    <row r="113" spans="1:23" ht="15" customHeight="1" x14ac:dyDescent="0.35">
      <c r="A113" s="3">
        <v>42216</v>
      </c>
      <c r="B113" s="4">
        <v>78.39</v>
      </c>
      <c r="C113" s="4">
        <v>82.55</v>
      </c>
      <c r="D113" s="4">
        <v>76.66</v>
      </c>
      <c r="E113" s="4">
        <v>76.7</v>
      </c>
      <c r="F113" s="4">
        <v>76.7</v>
      </c>
      <c r="G113" s="13">
        <f t="shared" si="3"/>
        <v>-1.9683026584866974E-2</v>
      </c>
      <c r="H113" s="6">
        <f>T113/100</f>
        <v>1.5700000000000002E-2</v>
      </c>
      <c r="I113" s="7">
        <f>U113</f>
        <v>0</v>
      </c>
      <c r="J113" s="6">
        <f>U113/100</f>
        <v>0</v>
      </c>
      <c r="K113" s="13">
        <f>G113-J113</f>
        <v>-1.9683026584866974E-2</v>
      </c>
      <c r="T113">
        <v>1.57</v>
      </c>
      <c r="U113">
        <v>0</v>
      </c>
      <c r="V113">
        <v>-4.17</v>
      </c>
      <c r="W113">
        <v>-4.16</v>
      </c>
    </row>
    <row r="114" spans="1:23" ht="15" customHeight="1" x14ac:dyDescent="0.35">
      <c r="A114" s="3">
        <v>42185</v>
      </c>
      <c r="B114" s="4">
        <v>78.650000000000006</v>
      </c>
      <c r="C114" s="4">
        <v>81.22</v>
      </c>
      <c r="D114" s="4">
        <v>77.099999999999994</v>
      </c>
      <c r="E114" s="4">
        <v>78.239999999999995</v>
      </c>
      <c r="F114" s="4">
        <v>78.239999999999995</v>
      </c>
      <c r="G114" s="13">
        <f t="shared" si="3"/>
        <v>-1.9135093761960158E-3</v>
      </c>
      <c r="H114" s="6">
        <f>T114/100</f>
        <v>-1.52E-2</v>
      </c>
      <c r="I114" s="7">
        <f>U114</f>
        <v>0</v>
      </c>
      <c r="J114" s="6">
        <f>U114/100</f>
        <v>0</v>
      </c>
      <c r="K114" s="13">
        <f>G114-J114</f>
        <v>-1.9135093761960158E-3</v>
      </c>
      <c r="T114">
        <v>-1.52</v>
      </c>
      <c r="U114">
        <v>0</v>
      </c>
      <c r="V114">
        <v>2.94</v>
      </c>
      <c r="W114">
        <v>-0.82</v>
      </c>
    </row>
    <row r="115" spans="1:23" ht="15" customHeight="1" x14ac:dyDescent="0.35">
      <c r="A115" s="3">
        <v>42155</v>
      </c>
      <c r="B115" s="4">
        <v>79.760000000000005</v>
      </c>
      <c r="C115" s="4">
        <v>81.209999999999994</v>
      </c>
      <c r="D115" s="4">
        <v>78.19</v>
      </c>
      <c r="E115" s="4">
        <v>78.39</v>
      </c>
      <c r="F115" s="4">
        <v>78.39</v>
      </c>
      <c r="G115" s="13">
        <f t="shared" si="3"/>
        <v>-1.408627845554024E-2</v>
      </c>
      <c r="H115" s="6">
        <f>T115/100</f>
        <v>1.37E-2</v>
      </c>
      <c r="I115" s="7">
        <f>U115</f>
        <v>0</v>
      </c>
      <c r="J115" s="6">
        <f>U115/100</f>
        <v>0</v>
      </c>
      <c r="K115" s="13">
        <f>G115-J115</f>
        <v>-1.408627845554024E-2</v>
      </c>
      <c r="T115">
        <v>1.37</v>
      </c>
      <c r="U115">
        <v>0</v>
      </c>
      <c r="V115">
        <v>0.95</v>
      </c>
      <c r="W115">
        <v>-1.1100000000000001</v>
      </c>
    </row>
    <row r="116" spans="1:23" ht="15" customHeight="1" x14ac:dyDescent="0.35">
      <c r="A116" s="3">
        <v>42124</v>
      </c>
      <c r="B116" s="4">
        <v>82.44</v>
      </c>
      <c r="C116" s="4">
        <v>84.2</v>
      </c>
      <c r="D116" s="4">
        <v>79.069999999999993</v>
      </c>
      <c r="E116" s="4">
        <v>79.510000000000005</v>
      </c>
      <c r="F116" s="4">
        <v>79.510000000000005</v>
      </c>
      <c r="G116" s="13">
        <f t="shared" si="3"/>
        <v>-2.9655845740785853E-2</v>
      </c>
      <c r="H116" s="6">
        <f>T116/100</f>
        <v>5.8999999999999999E-3</v>
      </c>
      <c r="I116" s="7">
        <f>U116</f>
        <v>0</v>
      </c>
      <c r="J116" s="6">
        <f>U116/100</f>
        <v>0</v>
      </c>
      <c r="K116" s="13">
        <f>G116-J116</f>
        <v>-2.9655845740785853E-2</v>
      </c>
      <c r="T116">
        <v>0.59</v>
      </c>
      <c r="U116">
        <v>0</v>
      </c>
      <c r="V116">
        <v>-2.99</v>
      </c>
      <c r="W116">
        <v>1.8</v>
      </c>
    </row>
    <row r="117" spans="1:23" ht="15" customHeight="1" x14ac:dyDescent="0.35">
      <c r="A117" s="3">
        <v>42094</v>
      </c>
      <c r="B117" s="4">
        <v>85.13</v>
      </c>
      <c r="C117" s="4">
        <v>85.44</v>
      </c>
      <c r="D117" s="4">
        <v>80.81</v>
      </c>
      <c r="E117" s="4">
        <v>81.94</v>
      </c>
      <c r="F117" s="4">
        <v>81.94</v>
      </c>
      <c r="G117" s="13">
        <f t="shared" si="3"/>
        <v>-3.7472101491835989E-2</v>
      </c>
      <c r="H117" s="6">
        <f>T117/100</f>
        <v>-1.11E-2</v>
      </c>
      <c r="I117" s="7">
        <f>U117</f>
        <v>0</v>
      </c>
      <c r="J117" s="6">
        <f>U117/100</f>
        <v>0</v>
      </c>
      <c r="K117" s="13">
        <f>G117-J117</f>
        <v>-3.7472101491835989E-2</v>
      </c>
      <c r="T117">
        <v>-1.1100000000000001</v>
      </c>
      <c r="U117">
        <v>0</v>
      </c>
      <c r="V117">
        <v>3.05</v>
      </c>
      <c r="W117">
        <v>-0.38</v>
      </c>
    </row>
    <row r="118" spans="1:23" ht="15" customHeight="1" x14ac:dyDescent="0.35">
      <c r="A118" s="3">
        <v>42063</v>
      </c>
      <c r="B118" s="4">
        <v>84.58</v>
      </c>
      <c r="C118" s="4">
        <v>86.78</v>
      </c>
      <c r="D118" s="4">
        <v>83.68</v>
      </c>
      <c r="E118" s="4">
        <v>85.13</v>
      </c>
      <c r="F118" s="4">
        <v>85.13</v>
      </c>
      <c r="G118" s="13">
        <f t="shared" si="3"/>
        <v>9.9655949697471727E-3</v>
      </c>
      <c r="H118" s="6">
        <f>T118/100</f>
        <v>6.13E-2</v>
      </c>
      <c r="I118" s="7">
        <f>U118</f>
        <v>0</v>
      </c>
      <c r="J118" s="6">
        <f>U118/100</f>
        <v>0</v>
      </c>
      <c r="K118" s="13">
        <f>G118-J118</f>
        <v>9.9655949697471727E-3</v>
      </c>
      <c r="T118">
        <v>6.13</v>
      </c>
      <c r="U118">
        <v>0</v>
      </c>
      <c r="V118">
        <v>0.61</v>
      </c>
      <c r="W118">
        <v>-1.79</v>
      </c>
    </row>
    <row r="119" spans="1:23" ht="15" customHeight="1" x14ac:dyDescent="0.35">
      <c r="A119" s="3">
        <v>42035</v>
      </c>
      <c r="B119" s="4">
        <v>90.84</v>
      </c>
      <c r="C119" s="4">
        <v>91.79</v>
      </c>
      <c r="D119" s="4">
        <v>84.25</v>
      </c>
      <c r="E119" s="4">
        <v>84.29</v>
      </c>
      <c r="F119" s="4">
        <v>84.29</v>
      </c>
      <c r="G119" s="13">
        <f t="shared" si="3"/>
        <v>-7.4651443627181874E-2</v>
      </c>
      <c r="H119" s="6">
        <f>T119/100</f>
        <v>-3.1E-2</v>
      </c>
      <c r="I119" s="7">
        <f>U119</f>
        <v>0</v>
      </c>
      <c r="J119" s="6">
        <f>U119/100</f>
        <v>0</v>
      </c>
      <c r="K119" s="13">
        <f>G119-J119</f>
        <v>-7.4651443627181874E-2</v>
      </c>
      <c r="T119">
        <v>-3.1</v>
      </c>
      <c r="U119">
        <v>0</v>
      </c>
      <c r="V119">
        <v>-0.59</v>
      </c>
      <c r="W119">
        <v>-3.45</v>
      </c>
    </row>
    <row r="120" spans="1:23" ht="15" customHeight="1" x14ac:dyDescent="0.35">
      <c r="A120" s="3">
        <v>42004</v>
      </c>
      <c r="B120" s="4">
        <v>90.17</v>
      </c>
      <c r="C120" s="4">
        <v>93.89</v>
      </c>
      <c r="D120" s="4">
        <v>88.38</v>
      </c>
      <c r="E120" s="4">
        <v>91.09</v>
      </c>
      <c r="F120" s="4">
        <v>91.09</v>
      </c>
      <c r="G120" s="13">
        <f t="shared" si="3"/>
        <v>7.2984628994802224E-3</v>
      </c>
      <c r="H120" s="6">
        <f>T120/100</f>
        <v>-5.0000000000000001E-4</v>
      </c>
      <c r="I120" s="7">
        <f t="shared" ref="I120:I129" si="4">U120</f>
        <v>0</v>
      </c>
      <c r="J120" s="6">
        <f>U120/100</f>
        <v>0</v>
      </c>
      <c r="K120" s="13">
        <f>G120-J120</f>
        <v>7.2984628994802224E-3</v>
      </c>
      <c r="T120">
        <v>-0.05</v>
      </c>
      <c r="U120">
        <v>0</v>
      </c>
      <c r="V120">
        <v>2.5299999999999998</v>
      </c>
      <c r="W120">
        <v>2.12</v>
      </c>
    </row>
    <row r="121" spans="1:23" ht="15" customHeight="1" x14ac:dyDescent="0.35">
      <c r="A121" s="3">
        <v>41973</v>
      </c>
      <c r="B121" s="4">
        <v>86.66</v>
      </c>
      <c r="C121" s="4">
        <v>90.56</v>
      </c>
      <c r="D121" s="4">
        <v>86.2</v>
      </c>
      <c r="E121" s="4">
        <v>90.43</v>
      </c>
      <c r="F121" s="4">
        <v>90.43</v>
      </c>
      <c r="G121" s="13">
        <f t="shared" si="3"/>
        <v>3.6209464879110934E-2</v>
      </c>
      <c r="H121" s="6">
        <f>T121/100</f>
        <v>2.5600000000000001E-2</v>
      </c>
      <c r="I121" s="7">
        <f t="shared" si="4"/>
        <v>0</v>
      </c>
      <c r="J121" s="6">
        <f>U121/100</f>
        <v>0</v>
      </c>
      <c r="K121" s="13">
        <f>G121-J121</f>
        <v>3.6209464879110934E-2</v>
      </c>
      <c r="T121">
        <v>2.56</v>
      </c>
      <c r="U121">
        <v>0</v>
      </c>
      <c r="V121">
        <v>-2.0499999999999998</v>
      </c>
      <c r="W121">
        <v>-3.13</v>
      </c>
    </row>
    <row r="122" spans="1:23" ht="15" customHeight="1" x14ac:dyDescent="0.35">
      <c r="A122" s="3">
        <v>41943</v>
      </c>
      <c r="B122" s="4">
        <v>84.02</v>
      </c>
      <c r="C122" s="4">
        <v>87.36</v>
      </c>
      <c r="D122" s="4">
        <v>81.569999999999993</v>
      </c>
      <c r="E122" s="4">
        <v>87.27</v>
      </c>
      <c r="F122" s="4">
        <v>87.27</v>
      </c>
      <c r="G122" s="13">
        <f t="shared" si="3"/>
        <v>4.2154287079054234E-2</v>
      </c>
      <c r="H122" s="6">
        <f>T122/100</f>
        <v>2.5099999999999997E-2</v>
      </c>
      <c r="I122" s="7">
        <f t="shared" si="4"/>
        <v>0</v>
      </c>
      <c r="J122" s="6">
        <f>U122/100</f>
        <v>0</v>
      </c>
      <c r="K122" s="13">
        <f>G122-J122</f>
        <v>4.2154287079054234E-2</v>
      </c>
      <c r="T122">
        <v>2.5099999999999998</v>
      </c>
      <c r="U122">
        <v>0</v>
      </c>
      <c r="V122">
        <v>4.05</v>
      </c>
      <c r="W122">
        <v>-1.63</v>
      </c>
    </row>
    <row r="123" spans="1:23" ht="15" customHeight="1" x14ac:dyDescent="0.35">
      <c r="A123" s="3">
        <v>41912</v>
      </c>
      <c r="B123" s="4">
        <v>83.21</v>
      </c>
      <c r="C123" s="4">
        <v>85.4</v>
      </c>
      <c r="D123" s="4">
        <v>82.71</v>
      </c>
      <c r="E123" s="4">
        <v>83.74</v>
      </c>
      <c r="F123" s="4">
        <v>83.74</v>
      </c>
      <c r="G123" s="13">
        <f t="shared" si="3"/>
        <v>7.5803152448561603E-3</v>
      </c>
      <c r="H123" s="6">
        <f>T123/100</f>
        <v>-1.9599999999999999E-2</v>
      </c>
      <c r="I123" s="7">
        <f t="shared" si="4"/>
        <v>0</v>
      </c>
      <c r="J123" s="6">
        <f>U123/100</f>
        <v>0</v>
      </c>
      <c r="K123" s="13">
        <f>G123-J123</f>
        <v>7.5803152448561603E-3</v>
      </c>
      <c r="T123">
        <v>-1.96</v>
      </c>
      <c r="U123">
        <v>0</v>
      </c>
      <c r="V123">
        <v>-3.59</v>
      </c>
      <c r="W123">
        <v>-1.47</v>
      </c>
    </row>
    <row r="124" spans="1:23" ht="15" customHeight="1" x14ac:dyDescent="0.35">
      <c r="A124" s="3">
        <v>41882</v>
      </c>
      <c r="B124" s="4">
        <v>79.25</v>
      </c>
      <c r="C124" s="4">
        <v>83.83</v>
      </c>
      <c r="D124" s="4">
        <v>78.66</v>
      </c>
      <c r="E124" s="4">
        <v>83.11</v>
      </c>
      <c r="F124" s="4">
        <v>83.11</v>
      </c>
      <c r="G124" s="13">
        <f t="shared" si="3"/>
        <v>7.488360062079677E-2</v>
      </c>
      <c r="H124" s="6">
        <f>T124/100</f>
        <v>4.24E-2</v>
      </c>
      <c r="I124" s="7">
        <f t="shared" si="4"/>
        <v>0</v>
      </c>
      <c r="J124" s="6">
        <f>U124/100</f>
        <v>0</v>
      </c>
      <c r="K124" s="13">
        <f>G124-J124</f>
        <v>7.488360062079677E-2</v>
      </c>
      <c r="T124">
        <v>4.24</v>
      </c>
      <c r="U124">
        <v>0</v>
      </c>
      <c r="V124">
        <v>0.41</v>
      </c>
      <c r="W124">
        <v>-0.56999999999999995</v>
      </c>
    </row>
    <row r="125" spans="1:23" ht="15" customHeight="1" x14ac:dyDescent="0.35">
      <c r="A125" s="3">
        <v>41851</v>
      </c>
      <c r="B125" s="4">
        <v>78.87</v>
      </c>
      <c r="C125" s="4">
        <v>81.91</v>
      </c>
      <c r="D125" s="4">
        <v>77.290000000000006</v>
      </c>
      <c r="E125" s="4">
        <v>77.319999999999993</v>
      </c>
      <c r="F125" s="4">
        <v>77.319999999999993</v>
      </c>
      <c r="G125" s="13">
        <f t="shared" si="3"/>
        <v>-1.6159816770581627E-2</v>
      </c>
      <c r="H125" s="6">
        <f>T125/100</f>
        <v>-2.0299999999999999E-2</v>
      </c>
      <c r="I125" s="7">
        <f t="shared" si="4"/>
        <v>0</v>
      </c>
      <c r="J125" s="6">
        <f>U125/100</f>
        <v>0</v>
      </c>
      <c r="K125" s="13">
        <f>G125-J125</f>
        <v>-1.6159816770581627E-2</v>
      </c>
      <c r="T125">
        <v>-2.0299999999999998</v>
      </c>
      <c r="U125">
        <v>0</v>
      </c>
      <c r="V125">
        <v>-4.18</v>
      </c>
      <c r="W125">
        <v>-0.08</v>
      </c>
    </row>
    <row r="126" spans="1:23" ht="15" customHeight="1" x14ac:dyDescent="0.35">
      <c r="A126" s="3">
        <v>41820</v>
      </c>
      <c r="B126" s="4">
        <v>80.66</v>
      </c>
      <c r="C126" s="4">
        <v>80.67</v>
      </c>
      <c r="D126" s="4">
        <v>78.430000000000007</v>
      </c>
      <c r="E126" s="4">
        <v>78.59</v>
      </c>
      <c r="F126" s="4">
        <v>78.59</v>
      </c>
      <c r="G126" s="13">
        <f t="shared" si="3"/>
        <v>-2.7231092957049174E-2</v>
      </c>
      <c r="H126" s="6">
        <f>T126/100</f>
        <v>2.6000000000000002E-2</v>
      </c>
      <c r="I126" s="7">
        <f t="shared" si="4"/>
        <v>0</v>
      </c>
      <c r="J126" s="6">
        <f>U126/100</f>
        <v>0</v>
      </c>
      <c r="K126" s="13">
        <f>G126-J126</f>
        <v>-2.7231092957049174E-2</v>
      </c>
      <c r="T126">
        <v>2.6</v>
      </c>
      <c r="U126">
        <v>0</v>
      </c>
      <c r="V126">
        <v>3.05</v>
      </c>
      <c r="W126">
        <v>-0.71</v>
      </c>
    </row>
    <row r="127" spans="1:23" ht="15" customHeight="1" x14ac:dyDescent="0.35">
      <c r="A127" s="3">
        <v>41790</v>
      </c>
      <c r="B127" s="4">
        <v>82.39</v>
      </c>
      <c r="C127" s="4">
        <v>82.8</v>
      </c>
      <c r="D127" s="4">
        <v>79.540000000000006</v>
      </c>
      <c r="E127" s="4">
        <v>80.790000000000006</v>
      </c>
      <c r="F127" s="4">
        <v>80.790000000000006</v>
      </c>
      <c r="G127" s="13">
        <f t="shared" si="3"/>
        <v>-2.1320411871592865E-2</v>
      </c>
      <c r="H127" s="6">
        <f>T127/100</f>
        <v>2.0499999999999997E-2</v>
      </c>
      <c r="I127" s="7">
        <f t="shared" si="4"/>
        <v>0</v>
      </c>
      <c r="J127" s="6">
        <f>U127/100</f>
        <v>0</v>
      </c>
      <c r="K127" s="13">
        <f>G127-J127</f>
        <v>-2.1320411871592865E-2</v>
      </c>
      <c r="T127">
        <v>2.0499999999999998</v>
      </c>
      <c r="U127">
        <v>0</v>
      </c>
      <c r="V127">
        <v>-1.85</v>
      </c>
      <c r="W127">
        <v>-0.1</v>
      </c>
    </row>
    <row r="128" spans="1:23" ht="15" customHeight="1" x14ac:dyDescent="0.35">
      <c r="A128" s="3">
        <v>41759</v>
      </c>
      <c r="B128" s="4">
        <v>80.599999999999994</v>
      </c>
      <c r="C128" s="4">
        <v>82.98</v>
      </c>
      <c r="D128" s="4">
        <v>79.38</v>
      </c>
      <c r="E128" s="4">
        <v>82.55</v>
      </c>
      <c r="F128" s="4">
        <v>82.55</v>
      </c>
      <c r="G128" s="13">
        <f t="shared" si="3"/>
        <v>2.4193548387096812E-2</v>
      </c>
      <c r="H128" s="6">
        <f>T128/100</f>
        <v>-1.8E-3</v>
      </c>
      <c r="I128" s="7">
        <f t="shared" si="4"/>
        <v>0</v>
      </c>
      <c r="J128" s="6">
        <f>U128/100</f>
        <v>0</v>
      </c>
      <c r="K128" s="13">
        <f>G128-J128</f>
        <v>2.4193548387096812E-2</v>
      </c>
      <c r="T128">
        <v>-0.18</v>
      </c>
      <c r="U128">
        <v>0</v>
      </c>
      <c r="V128">
        <v>-4.18</v>
      </c>
      <c r="W128">
        <v>1.22</v>
      </c>
    </row>
    <row r="129" spans="1:23" ht="15" customHeight="1" x14ac:dyDescent="0.35">
      <c r="A129" s="3">
        <v>41729</v>
      </c>
      <c r="B129" s="4">
        <v>78.260000000000005</v>
      </c>
      <c r="C129" s="4">
        <v>80.83</v>
      </c>
      <c r="D129" s="4">
        <v>77.349999999999994</v>
      </c>
      <c r="E129" s="4">
        <v>80.599999999999994</v>
      </c>
      <c r="F129" s="4">
        <v>80.599999999999994</v>
      </c>
      <c r="G129" s="13">
        <f t="shared" si="3"/>
        <v>2.4663107042969715E-2</v>
      </c>
      <c r="H129" s="6">
        <f>T129/100</f>
        <v>4.3E-3</v>
      </c>
      <c r="I129" s="7">
        <f t="shared" si="4"/>
        <v>0</v>
      </c>
      <c r="J129" s="6">
        <f>U129/100</f>
        <v>0</v>
      </c>
      <c r="K129" s="13">
        <f>G129-J129</f>
        <v>2.4663107042969715E-2</v>
      </c>
      <c r="T129">
        <v>0.43</v>
      </c>
      <c r="U129">
        <v>0</v>
      </c>
      <c r="V129">
        <v>-1.86</v>
      </c>
      <c r="W129">
        <v>4.9000000000000004</v>
      </c>
    </row>
    <row r="130" spans="1:23" ht="15" customHeight="1" x14ac:dyDescent="0.35">
      <c r="A130" s="3">
        <v>41698</v>
      </c>
      <c r="B130" s="4">
        <v>76.69</v>
      </c>
      <c r="C130" s="4">
        <v>79.75</v>
      </c>
      <c r="D130" s="4">
        <v>75.400000000000006</v>
      </c>
      <c r="E130" s="4">
        <v>78.66</v>
      </c>
      <c r="F130" s="4">
        <v>78.66</v>
      </c>
      <c r="G130" s="13">
        <f t="shared" ref="G130:G145" si="5">(F130-F131)/F131</f>
        <v>2.6624902114330357E-2</v>
      </c>
      <c r="H130" s="6">
        <f>T130/100</f>
        <v>4.6600000000000003E-2</v>
      </c>
      <c r="I130" s="7">
        <f t="shared" ref="I130:I145" si="6">U130</f>
        <v>0</v>
      </c>
      <c r="J130" s="6">
        <f>U130/100</f>
        <v>0</v>
      </c>
      <c r="K130" s="13">
        <f>G130-J130</f>
        <v>2.6624902114330357E-2</v>
      </c>
      <c r="T130">
        <v>4.66</v>
      </c>
      <c r="U130">
        <v>0</v>
      </c>
      <c r="V130">
        <v>0.36</v>
      </c>
      <c r="W130">
        <v>-0.35</v>
      </c>
    </row>
    <row r="131" spans="1:23" ht="15" customHeight="1" x14ac:dyDescent="0.35">
      <c r="A131" s="3">
        <v>41670</v>
      </c>
      <c r="B131" s="4">
        <v>81.33</v>
      </c>
      <c r="C131" s="4">
        <v>81.7</v>
      </c>
      <c r="D131" s="4">
        <v>75.260000000000005</v>
      </c>
      <c r="E131" s="4">
        <v>76.62</v>
      </c>
      <c r="F131" s="4">
        <v>76.62</v>
      </c>
      <c r="G131" s="13">
        <f t="shared" si="5"/>
        <v>-5.8837980592064763E-2</v>
      </c>
      <c r="H131" s="6">
        <f>T131/100</f>
        <v>-3.32E-2</v>
      </c>
      <c r="I131" s="7">
        <f t="shared" si="6"/>
        <v>0</v>
      </c>
      <c r="J131" s="6">
        <f>U131/100</f>
        <v>0</v>
      </c>
      <c r="K131" s="13">
        <f>G131-J131</f>
        <v>-5.8837980592064763E-2</v>
      </c>
      <c r="T131">
        <v>-3.32</v>
      </c>
      <c r="U131">
        <v>0</v>
      </c>
      <c r="V131">
        <v>0.93</v>
      </c>
      <c r="W131">
        <v>-1.99</v>
      </c>
    </row>
    <row r="132" spans="1:23" ht="15" customHeight="1" x14ac:dyDescent="0.35">
      <c r="A132" s="3">
        <v>41639</v>
      </c>
      <c r="B132" s="4">
        <v>84.04</v>
      </c>
      <c r="C132" s="4">
        <v>84.94</v>
      </c>
      <c r="D132" s="4">
        <v>80.48</v>
      </c>
      <c r="E132" s="4">
        <v>81.41</v>
      </c>
      <c r="F132" s="4">
        <v>81.41</v>
      </c>
      <c r="G132" s="13">
        <f t="shared" si="5"/>
        <v>-3.3364996437900765E-2</v>
      </c>
      <c r="H132" s="6">
        <f>T132/100</f>
        <v>2.81E-2</v>
      </c>
      <c r="I132" s="7">
        <f t="shared" si="6"/>
        <v>0</v>
      </c>
      <c r="J132" s="6">
        <f>U132/100</f>
        <v>0</v>
      </c>
      <c r="K132" s="13">
        <f>G132-J132</f>
        <v>-3.3364996437900765E-2</v>
      </c>
      <c r="T132">
        <v>2.81</v>
      </c>
      <c r="U132">
        <v>0</v>
      </c>
      <c r="V132">
        <v>-0.44</v>
      </c>
      <c r="W132">
        <v>0</v>
      </c>
    </row>
    <row r="133" spans="1:23" ht="15" customHeight="1" x14ac:dyDescent="0.35">
      <c r="A133" s="3">
        <v>41608</v>
      </c>
      <c r="B133" s="4">
        <v>80.680000000000007</v>
      </c>
      <c r="C133" s="4">
        <v>85.82</v>
      </c>
      <c r="D133" s="4">
        <v>80.64</v>
      </c>
      <c r="E133" s="4">
        <v>84.22</v>
      </c>
      <c r="F133" s="4">
        <v>84.22</v>
      </c>
      <c r="G133" s="13">
        <f t="shared" si="5"/>
        <v>4.2972136222910205E-2</v>
      </c>
      <c r="H133" s="6">
        <f>T133/100</f>
        <v>3.1099999999999999E-2</v>
      </c>
      <c r="I133" s="7">
        <f t="shared" si="6"/>
        <v>0</v>
      </c>
      <c r="J133" s="6">
        <f>U133/100</f>
        <v>0</v>
      </c>
      <c r="K133" s="13">
        <f>G133-J133</f>
        <v>4.2972136222910205E-2</v>
      </c>
      <c r="T133">
        <v>3.11</v>
      </c>
      <c r="U133">
        <v>0</v>
      </c>
      <c r="V133">
        <v>1.31</v>
      </c>
      <c r="W133">
        <v>0.19</v>
      </c>
    </row>
    <row r="134" spans="1:23" ht="15" customHeight="1" x14ac:dyDescent="0.35">
      <c r="A134" s="3">
        <v>41578</v>
      </c>
      <c r="B134" s="4">
        <v>75.52</v>
      </c>
      <c r="C134" s="4">
        <v>82.62</v>
      </c>
      <c r="D134" s="4">
        <v>75.2</v>
      </c>
      <c r="E134" s="4">
        <v>80.75</v>
      </c>
      <c r="F134" s="4">
        <v>80.75</v>
      </c>
      <c r="G134" s="13">
        <f t="shared" si="5"/>
        <v>6.826299775102522E-2</v>
      </c>
      <c r="H134" s="6">
        <f>T134/100</f>
        <v>4.1700000000000001E-2</v>
      </c>
      <c r="I134" s="7">
        <f t="shared" si="6"/>
        <v>0</v>
      </c>
      <c r="J134" s="6">
        <f>U134/100</f>
        <v>0</v>
      </c>
      <c r="K134" s="13">
        <f>G134-J134</f>
        <v>6.826299775102522E-2</v>
      </c>
      <c r="T134">
        <v>4.17</v>
      </c>
      <c r="U134">
        <v>0</v>
      </c>
      <c r="V134">
        <v>-1.56</v>
      </c>
      <c r="W134">
        <v>1.22</v>
      </c>
    </row>
    <row r="135" spans="1:23" ht="15" customHeight="1" x14ac:dyDescent="0.35">
      <c r="A135" s="3">
        <v>41547</v>
      </c>
      <c r="B135" s="4">
        <v>78.27</v>
      </c>
      <c r="C135" s="4">
        <v>80.53</v>
      </c>
      <c r="D135" s="4">
        <v>75.349999999999994</v>
      </c>
      <c r="E135" s="4">
        <v>75.59</v>
      </c>
      <c r="F135" s="4">
        <v>75.59</v>
      </c>
      <c r="G135" s="13">
        <f t="shared" si="5"/>
        <v>-2.9528822698677584E-2</v>
      </c>
      <c r="H135" s="6">
        <f>T135/100</f>
        <v>3.7699999999999997E-2</v>
      </c>
      <c r="I135" s="7">
        <f t="shared" si="6"/>
        <v>0</v>
      </c>
      <c r="J135" s="6">
        <f>U135/100</f>
        <v>0</v>
      </c>
      <c r="K135" s="13">
        <f>G135-J135</f>
        <v>-2.9528822698677584E-2</v>
      </c>
      <c r="T135">
        <v>3.77</v>
      </c>
      <c r="U135">
        <v>0</v>
      </c>
      <c r="V135">
        <v>2.89</v>
      </c>
      <c r="W135">
        <v>-1.18</v>
      </c>
    </row>
    <row r="136" spans="1:23" ht="15" customHeight="1" x14ac:dyDescent="0.35">
      <c r="A136" s="3">
        <v>41517</v>
      </c>
      <c r="B136" s="4">
        <v>81.62</v>
      </c>
      <c r="C136" s="4">
        <v>82.4</v>
      </c>
      <c r="D136" s="4">
        <v>73.61</v>
      </c>
      <c r="E136" s="4">
        <v>77.89</v>
      </c>
      <c r="F136" s="4">
        <v>77.89</v>
      </c>
      <c r="G136" s="13">
        <f t="shared" si="5"/>
        <v>-3.0012453300124493E-2</v>
      </c>
      <c r="H136" s="6">
        <f>T136/100</f>
        <v>-2.7099999999999999E-2</v>
      </c>
      <c r="I136" s="7">
        <f t="shared" si="6"/>
        <v>0</v>
      </c>
      <c r="J136" s="6">
        <f>U136/100</f>
        <v>0</v>
      </c>
      <c r="K136" s="13">
        <f>G136-J136</f>
        <v>-3.0012453300124493E-2</v>
      </c>
      <c r="T136">
        <v>-2.71</v>
      </c>
      <c r="U136">
        <v>0</v>
      </c>
      <c r="V136">
        <v>0.32</v>
      </c>
      <c r="W136">
        <v>-2.73</v>
      </c>
    </row>
    <row r="137" spans="1:23" ht="15" customHeight="1" x14ac:dyDescent="0.35">
      <c r="A137" s="3">
        <v>41486</v>
      </c>
      <c r="B137" s="4">
        <v>77.02</v>
      </c>
      <c r="C137" s="4">
        <v>81.64</v>
      </c>
      <c r="D137" s="4">
        <v>77</v>
      </c>
      <c r="E137" s="4">
        <v>80.3</v>
      </c>
      <c r="F137" s="4">
        <v>80.3</v>
      </c>
      <c r="G137" s="13">
        <f t="shared" si="5"/>
        <v>4.2992596441096279E-2</v>
      </c>
      <c r="H137" s="6">
        <f>T137/100</f>
        <v>5.6500000000000002E-2</v>
      </c>
      <c r="I137" s="7">
        <f t="shared" si="6"/>
        <v>0</v>
      </c>
      <c r="J137" s="6">
        <f>U137/100</f>
        <v>0</v>
      </c>
      <c r="K137" s="13">
        <f>G137-J137</f>
        <v>4.2992596441096279E-2</v>
      </c>
      <c r="T137">
        <v>5.65</v>
      </c>
      <c r="U137">
        <v>0</v>
      </c>
      <c r="V137">
        <v>1.81</v>
      </c>
      <c r="W137">
        <v>0.57999999999999996</v>
      </c>
    </row>
    <row r="138" spans="1:23" ht="15" customHeight="1" x14ac:dyDescent="0.35">
      <c r="A138" s="3">
        <v>41455</v>
      </c>
      <c r="B138" s="4">
        <v>76.87</v>
      </c>
      <c r="C138" s="4">
        <v>79.47</v>
      </c>
      <c r="D138" s="4">
        <v>75.099999999999994</v>
      </c>
      <c r="E138" s="4">
        <v>76.989999999999995</v>
      </c>
      <c r="F138" s="4">
        <v>76.989999999999995</v>
      </c>
      <c r="G138" s="13">
        <f t="shared" si="5"/>
        <v>2.9963522668054942E-3</v>
      </c>
      <c r="H138" s="6">
        <f>T138/100</f>
        <v>-1.2E-2</v>
      </c>
      <c r="I138" s="7">
        <f t="shared" si="6"/>
        <v>0</v>
      </c>
      <c r="J138" s="6">
        <f>U138/100</f>
        <v>0</v>
      </c>
      <c r="K138" s="13">
        <f>G138-J138</f>
        <v>2.9963522668054942E-3</v>
      </c>
      <c r="T138">
        <v>-1.2</v>
      </c>
      <c r="U138">
        <v>0</v>
      </c>
      <c r="V138">
        <v>1.31</v>
      </c>
      <c r="W138">
        <v>-0.05</v>
      </c>
    </row>
    <row r="139" spans="1:23" ht="15" customHeight="1" x14ac:dyDescent="0.35">
      <c r="A139" s="3">
        <v>41425</v>
      </c>
      <c r="B139" s="4">
        <v>76.83</v>
      </c>
      <c r="C139" s="4">
        <v>82.35</v>
      </c>
      <c r="D139" s="4">
        <v>76.72</v>
      </c>
      <c r="E139" s="4">
        <v>76.760000000000005</v>
      </c>
      <c r="F139" s="4">
        <v>76.760000000000005</v>
      </c>
      <c r="G139" s="13">
        <f t="shared" si="5"/>
        <v>-1.3025921583940218E-4</v>
      </c>
      <c r="H139" s="6">
        <f>T139/100</f>
        <v>2.7999999999999997E-2</v>
      </c>
      <c r="I139" s="7">
        <f t="shared" si="6"/>
        <v>0</v>
      </c>
      <c r="J139" s="6">
        <f>U139/100</f>
        <v>0</v>
      </c>
      <c r="K139" s="13">
        <f>G139-J139</f>
        <v>-1.3025921583940218E-4</v>
      </c>
      <c r="T139">
        <v>2.8</v>
      </c>
      <c r="U139">
        <v>0</v>
      </c>
      <c r="V139">
        <v>1.7</v>
      </c>
      <c r="W139">
        <v>2.67</v>
      </c>
    </row>
    <row r="140" spans="1:23" ht="15" customHeight="1" x14ac:dyDescent="0.35">
      <c r="A140" s="3">
        <v>41394</v>
      </c>
      <c r="B140" s="4">
        <v>76.849999999999994</v>
      </c>
      <c r="C140" s="4">
        <v>82.54</v>
      </c>
      <c r="D140" s="4">
        <v>76.349999999999994</v>
      </c>
      <c r="E140" s="4">
        <v>76.77</v>
      </c>
      <c r="F140" s="4">
        <v>76.77</v>
      </c>
      <c r="G140" s="13">
        <f t="shared" si="5"/>
        <v>-3.763301323643995E-3</v>
      </c>
      <c r="H140" s="6">
        <f>T140/100</f>
        <v>1.5600000000000001E-2</v>
      </c>
      <c r="I140" s="7">
        <f t="shared" si="6"/>
        <v>0</v>
      </c>
      <c r="J140" s="6">
        <f>U140/100</f>
        <v>0</v>
      </c>
      <c r="K140" s="13">
        <f>G140-J140</f>
        <v>-3.763301323643995E-3</v>
      </c>
      <c r="T140">
        <v>1.56</v>
      </c>
      <c r="U140">
        <v>0</v>
      </c>
      <c r="V140">
        <v>-2.37</v>
      </c>
      <c r="W140">
        <v>0.44</v>
      </c>
    </row>
    <row r="141" spans="1:23" ht="15" customHeight="1" x14ac:dyDescent="0.35">
      <c r="A141" s="3">
        <v>41364</v>
      </c>
      <c r="B141" s="4">
        <v>75.7</v>
      </c>
      <c r="C141" s="4">
        <v>77.819999999999993</v>
      </c>
      <c r="D141" s="4">
        <v>75.56</v>
      </c>
      <c r="E141" s="4">
        <v>77.06</v>
      </c>
      <c r="F141" s="4">
        <v>77.06</v>
      </c>
      <c r="G141" s="13">
        <f t="shared" si="5"/>
        <v>1.1551588343397156E-2</v>
      </c>
      <c r="H141" s="6">
        <f>T141/100</f>
        <v>4.0399999999999998E-2</v>
      </c>
      <c r="I141" s="7">
        <f t="shared" si="6"/>
        <v>0</v>
      </c>
      <c r="J141" s="6">
        <f>U141/100</f>
        <v>0</v>
      </c>
      <c r="K141" s="13">
        <f>G141-J141</f>
        <v>1.1551588343397156E-2</v>
      </c>
      <c r="T141">
        <v>4.04</v>
      </c>
      <c r="U141">
        <v>0</v>
      </c>
      <c r="V141">
        <v>0.83</v>
      </c>
      <c r="W141">
        <v>-0.22</v>
      </c>
    </row>
    <row r="142" spans="1:23" ht="15" customHeight="1" x14ac:dyDescent="0.35">
      <c r="A142" s="3">
        <v>41333</v>
      </c>
      <c r="B142" s="4">
        <v>75.3</v>
      </c>
      <c r="C142" s="4">
        <v>77.77</v>
      </c>
      <c r="D142" s="4">
        <v>74.95</v>
      </c>
      <c r="E142" s="4">
        <v>76.180000000000007</v>
      </c>
      <c r="F142" s="4">
        <v>76.180000000000007</v>
      </c>
      <c r="G142" s="13">
        <f t="shared" si="5"/>
        <v>1.3571048430016103E-2</v>
      </c>
      <c r="H142" s="6">
        <f>T142/100</f>
        <v>1.2800000000000001E-2</v>
      </c>
      <c r="I142" s="7">
        <f t="shared" si="6"/>
        <v>0</v>
      </c>
      <c r="J142" s="6">
        <f>U142/100</f>
        <v>0</v>
      </c>
      <c r="K142" s="13">
        <f>G142-J142</f>
        <v>1.3571048430016103E-2</v>
      </c>
      <c r="T142">
        <v>1.28</v>
      </c>
      <c r="U142">
        <v>0</v>
      </c>
      <c r="V142">
        <v>-0.3</v>
      </c>
      <c r="W142">
        <v>0.21</v>
      </c>
    </row>
    <row r="143" spans="1:23" ht="15" customHeight="1" x14ac:dyDescent="0.35">
      <c r="A143" s="3">
        <v>41305</v>
      </c>
      <c r="B143" s="4">
        <v>68.650000000000006</v>
      </c>
      <c r="C143" s="4">
        <v>75.48</v>
      </c>
      <c r="D143" s="4">
        <v>68.349999999999994</v>
      </c>
      <c r="E143" s="4">
        <v>75.16</v>
      </c>
      <c r="F143" s="4">
        <v>75.16</v>
      </c>
      <c r="G143" s="13">
        <f t="shared" si="5"/>
        <v>0.10708499042568856</v>
      </c>
      <c r="H143" s="6">
        <f>T143/100</f>
        <v>5.57E-2</v>
      </c>
      <c r="I143" s="7">
        <f t="shared" si="6"/>
        <v>0</v>
      </c>
      <c r="J143" s="6">
        <f>U143/100</f>
        <v>0</v>
      </c>
      <c r="K143" s="13">
        <f>G143-J143</f>
        <v>0.10708499042568856</v>
      </c>
      <c r="T143">
        <v>5.57</v>
      </c>
      <c r="U143">
        <v>0</v>
      </c>
      <c r="V143">
        <v>0.28999999999999998</v>
      </c>
      <c r="W143">
        <v>1.01</v>
      </c>
    </row>
    <row r="144" spans="1:23" ht="15" customHeight="1" x14ac:dyDescent="0.35">
      <c r="A144" s="3">
        <v>41274</v>
      </c>
      <c r="B144" s="4">
        <v>69.84</v>
      </c>
      <c r="C144" s="4">
        <v>70.989999999999995</v>
      </c>
      <c r="D144" s="4">
        <v>66.83</v>
      </c>
      <c r="E144" s="4">
        <v>67.89</v>
      </c>
      <c r="F144" s="4">
        <v>67.89</v>
      </c>
      <c r="G144" s="13">
        <f t="shared" si="5"/>
        <v>-2.7781755692395788E-2</v>
      </c>
      <c r="H144" s="6">
        <f>T144/100</f>
        <v>1.18E-2</v>
      </c>
      <c r="I144" s="7">
        <f t="shared" si="6"/>
        <v>0.01</v>
      </c>
      <c r="J144" s="6">
        <f>U144/100</f>
        <v>1E-4</v>
      </c>
      <c r="K144" s="13">
        <f>G144-J144</f>
        <v>-2.7881755692395788E-2</v>
      </c>
      <c r="T144">
        <v>1.18</v>
      </c>
      <c r="U144">
        <v>0.01</v>
      </c>
      <c r="V144">
        <v>1.5</v>
      </c>
      <c r="W144">
        <v>3.48</v>
      </c>
    </row>
    <row r="145" spans="1:23" ht="15" customHeight="1" x14ac:dyDescent="0.35">
      <c r="A145" s="3">
        <v>41243</v>
      </c>
      <c r="B145" s="4">
        <v>69.16</v>
      </c>
      <c r="C145" s="4">
        <v>69.89</v>
      </c>
      <c r="D145" s="4">
        <v>65.83</v>
      </c>
      <c r="E145" s="4">
        <v>69.83</v>
      </c>
      <c r="F145" s="4">
        <v>69.83</v>
      </c>
      <c r="G145" s="13">
        <f t="shared" si="5"/>
        <v>8.5210860774119507E-3</v>
      </c>
      <c r="H145" s="6">
        <f>T145/100</f>
        <v>7.8000000000000005E-3</v>
      </c>
      <c r="I145" s="7">
        <f t="shared" si="6"/>
        <v>0.01</v>
      </c>
      <c r="J145" s="6">
        <f>U145/100</f>
        <v>1E-4</v>
      </c>
      <c r="K145" s="13">
        <f>G145-J145</f>
        <v>8.4210860774119514E-3</v>
      </c>
      <c r="T145">
        <v>0.78</v>
      </c>
      <c r="U145">
        <v>0.01</v>
      </c>
      <c r="V145">
        <v>0.6</v>
      </c>
      <c r="W145">
        <v>-0.86</v>
      </c>
    </row>
    <row r="146" spans="1:23" ht="15" customHeight="1" x14ac:dyDescent="0.35">
      <c r="A146" s="3">
        <v>41213</v>
      </c>
      <c r="B146" s="4">
        <v>69.33</v>
      </c>
      <c r="C146" s="4">
        <v>70.83</v>
      </c>
      <c r="D146" s="4">
        <v>67.260000000000005</v>
      </c>
      <c r="E146" s="4">
        <v>69.239999999999995</v>
      </c>
      <c r="F146" s="4">
        <v>69.239999999999995</v>
      </c>
    </row>
  </sheetData>
  <mergeCells count="5">
    <mergeCell ref="M1:N1"/>
    <mergeCell ref="M18:N18"/>
    <mergeCell ref="M15:N15"/>
    <mergeCell ref="M23:N23"/>
    <mergeCell ref="M28:N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5"/>
  <sheetViews>
    <sheetView zoomScale="73" zoomScaleNormal="100" workbookViewId="0">
      <pane ySplit="1" topLeftCell="A18" activePane="bottomLeft" state="frozen"/>
      <selection pane="bottomLeft" activeCell="M28" sqref="M28"/>
    </sheetView>
  </sheetViews>
  <sheetFormatPr defaultColWidth="8.6328125" defaultRowHeight="14.5" x14ac:dyDescent="0.35"/>
  <cols>
    <col min="1" max="1" width="13" customWidth="1"/>
    <col min="2" max="2" width="18" customWidth="1"/>
    <col min="3" max="3" width="22" customWidth="1"/>
    <col min="4" max="4" width="10" customWidth="1"/>
    <col min="5" max="5" width="15" customWidth="1"/>
    <col min="6" max="6" width="10" customWidth="1"/>
    <col min="7" max="7" width="22" customWidth="1"/>
    <col min="8" max="8" width="10" customWidth="1"/>
    <col min="9" max="9" width="22" customWidth="1"/>
    <col min="11" max="11" width="36" customWidth="1"/>
    <col min="12" max="12" width="18" customWidth="1"/>
    <col min="13" max="13" width="42" customWidth="1"/>
    <col min="15" max="15" width="20.7265625" bestFit="1" customWidth="1"/>
  </cols>
  <sheetData>
    <row r="1" spans="1:13" ht="27.75" customHeight="1" thickBot="1" x14ac:dyDescent="0.4">
      <c r="A1" s="1" t="s">
        <v>0</v>
      </c>
      <c r="B1" s="1" t="s">
        <v>13</v>
      </c>
      <c r="C1" s="1" t="s">
        <v>11</v>
      </c>
      <c r="D1" s="1" t="s">
        <v>12</v>
      </c>
      <c r="E1" s="1" t="s">
        <v>94</v>
      </c>
      <c r="F1" s="1" t="s">
        <v>95</v>
      </c>
      <c r="G1" s="1" t="s">
        <v>108</v>
      </c>
      <c r="H1" s="1" t="s">
        <v>96</v>
      </c>
      <c r="I1" s="1" t="s">
        <v>107</v>
      </c>
      <c r="K1" s="16" t="s">
        <v>105</v>
      </c>
      <c r="L1" s="17"/>
    </row>
    <row r="2" spans="1:13" ht="15" customHeight="1" x14ac:dyDescent="0.35">
      <c r="A2" s="3">
        <f>'PG MONTHLY DATA'!A2</f>
        <v>45596</v>
      </c>
      <c r="B2" s="13">
        <f>'PG MONTHLY DATA'!K2</f>
        <v>-5.0204849884526455E-2</v>
      </c>
      <c r="C2" s="6">
        <f>'PG MONTHLY DATA'!H2</f>
        <v>-0.01</v>
      </c>
      <c r="D2" s="7">
        <f>'PG MONTHLY DATA'!I2</f>
        <v>0.39</v>
      </c>
      <c r="E2" s="6">
        <f>'PG MONTHLY DATA'!J2</f>
        <v>3.9000000000000003E-3</v>
      </c>
      <c r="F2" s="7">
        <f>'PG MONTHLY DATA'!V2</f>
        <v>-0.99</v>
      </c>
      <c r="G2" s="6">
        <f t="shared" ref="G2:G33" si="0">F2/100</f>
        <v>-9.8999999999999991E-3</v>
      </c>
      <c r="H2" s="7">
        <f>'PG MONTHLY DATA'!W2</f>
        <v>0.86</v>
      </c>
      <c r="I2" s="6">
        <f t="shared" ref="I2:I33" si="1">H2/100</f>
        <v>8.6E-3</v>
      </c>
    </row>
    <row r="3" spans="1:13" ht="15" customHeight="1" x14ac:dyDescent="0.35">
      <c r="A3" s="3">
        <f>'PG MONTHLY DATA'!A3</f>
        <v>45565</v>
      </c>
      <c r="B3" s="13">
        <f>'PG MONTHLY DATA'!K3</f>
        <v>5.6770432552174233E-3</v>
      </c>
      <c r="C3" s="6">
        <f>'PG MONTHLY DATA'!H3</f>
        <v>1.72E-2</v>
      </c>
      <c r="D3" s="7">
        <f>'PG MONTHLY DATA'!I3</f>
        <v>0.4</v>
      </c>
      <c r="E3" s="6">
        <f>'PG MONTHLY DATA'!J3</f>
        <v>4.0000000000000001E-3</v>
      </c>
      <c r="F3" s="7">
        <f>'PG MONTHLY DATA'!V3</f>
        <v>-0.13</v>
      </c>
      <c r="G3" s="6">
        <f t="shared" si="0"/>
        <v>-1.2999999999999999E-3</v>
      </c>
      <c r="H3" s="7">
        <f>'PG MONTHLY DATA'!W3</f>
        <v>-2.76</v>
      </c>
      <c r="I3" s="6">
        <f t="shared" si="1"/>
        <v>-2.76E-2</v>
      </c>
      <c r="K3" s="2" t="s">
        <v>38</v>
      </c>
      <c r="L3" s="13">
        <f>CORREL(C2:C145,G2:G145)</f>
        <v>0.28334068267412144</v>
      </c>
    </row>
    <row r="4" spans="1:13" ht="15" customHeight="1" x14ac:dyDescent="0.35">
      <c r="A4" s="3">
        <f>'PG MONTHLY DATA'!A4</f>
        <v>45535</v>
      </c>
      <c r="B4" s="13">
        <f>'PG MONTHLY DATA'!K4</f>
        <v>6.2256481711868636E-2</v>
      </c>
      <c r="C4" s="6">
        <f>'PG MONTHLY DATA'!H4</f>
        <v>1.6E-2</v>
      </c>
      <c r="D4" s="7">
        <f>'PG MONTHLY DATA'!I4</f>
        <v>0.48</v>
      </c>
      <c r="E4" s="6">
        <f>'PG MONTHLY DATA'!J4</f>
        <v>4.7999999999999996E-3</v>
      </c>
      <c r="F4" s="7">
        <f>'PG MONTHLY DATA'!V4</f>
        <v>-3.49</v>
      </c>
      <c r="G4" s="6">
        <f t="shared" si="0"/>
        <v>-3.49E-2</v>
      </c>
      <c r="H4" s="7">
        <f>'PG MONTHLY DATA'!W4</f>
        <v>-1.1000000000000001</v>
      </c>
      <c r="I4" s="6">
        <f t="shared" si="1"/>
        <v>-1.1000000000000001E-2</v>
      </c>
      <c r="K4" s="2" t="s">
        <v>39</v>
      </c>
      <c r="L4" s="13">
        <f>CORREL(C2:C145,I2:I145)</f>
        <v>3.4419318907352683E-2</v>
      </c>
    </row>
    <row r="5" spans="1:13" ht="15" customHeight="1" x14ac:dyDescent="0.35">
      <c r="A5" s="3">
        <f>'PG MONTHLY DATA'!A5</f>
        <v>45504</v>
      </c>
      <c r="B5" s="13">
        <f>'PG MONTHLY DATA'!K5</f>
        <v>-2.9724351200582082E-2</v>
      </c>
      <c r="C5" s="6">
        <f>'PG MONTHLY DATA'!H5</f>
        <v>1.2199999999999999E-2</v>
      </c>
      <c r="D5" s="7">
        <f>'PG MONTHLY DATA'!I5</f>
        <v>0.45</v>
      </c>
      <c r="E5" s="6">
        <f>'PG MONTHLY DATA'!J5</f>
        <v>4.5000000000000005E-3</v>
      </c>
      <c r="F5" s="7">
        <f>'PG MONTHLY DATA'!V5</f>
        <v>6.81</v>
      </c>
      <c r="G5" s="6">
        <f t="shared" si="0"/>
        <v>6.8099999999999994E-2</v>
      </c>
      <c r="H5" s="7">
        <f>'PG MONTHLY DATA'!W5</f>
        <v>5.62</v>
      </c>
      <c r="I5" s="6">
        <f t="shared" si="1"/>
        <v>5.62E-2</v>
      </c>
      <c r="K5" s="2" t="s">
        <v>40</v>
      </c>
      <c r="L5" s="13">
        <f>CORREL(G2:G145,I2:I145)</f>
        <v>9.7451031472670063E-2</v>
      </c>
    </row>
    <row r="6" spans="1:13" ht="29" x14ac:dyDescent="0.35">
      <c r="A6" s="3">
        <f>'PG MONTHLY DATA'!A6</f>
        <v>45473</v>
      </c>
      <c r="B6" s="13">
        <f>'PG MONTHLY DATA'!K6</f>
        <v>-1.7905311778291261E-3</v>
      </c>
      <c r="C6" s="6">
        <f>'PG MONTHLY DATA'!H6</f>
        <v>2.7999999999999997E-2</v>
      </c>
      <c r="D6" s="7">
        <f>'PG MONTHLY DATA'!I6</f>
        <v>0.41</v>
      </c>
      <c r="E6" s="6">
        <f>'PG MONTHLY DATA'!J6</f>
        <v>4.0999999999999995E-3</v>
      </c>
      <c r="F6" s="7">
        <f>'PG MONTHLY DATA'!V6</f>
        <v>-3</v>
      </c>
      <c r="G6" s="6">
        <f t="shared" si="0"/>
        <v>-0.03</v>
      </c>
      <c r="H6" s="7">
        <f>'PG MONTHLY DATA'!W6</f>
        <v>-3.36</v>
      </c>
      <c r="I6" s="6">
        <f t="shared" si="1"/>
        <v>-3.3599999999999998E-2</v>
      </c>
      <c r="K6" s="5" t="s">
        <v>41</v>
      </c>
    </row>
    <row r="7" spans="1:13" ht="15" customHeight="1" thickBot="1" x14ac:dyDescent="0.4">
      <c r="A7" s="3">
        <f>'PG MONTHLY DATA'!A7</f>
        <v>45443</v>
      </c>
      <c r="B7" s="13">
        <f>'PG MONTHLY DATA'!K7</f>
        <v>3.8107843137255111E-3</v>
      </c>
      <c r="C7" s="6">
        <f>'PG MONTHLY DATA'!H7</f>
        <v>4.3299999999999998E-2</v>
      </c>
      <c r="D7" s="7">
        <f>'PG MONTHLY DATA'!I7</f>
        <v>0.44</v>
      </c>
      <c r="E7" s="6">
        <f>'PG MONTHLY DATA'!J7</f>
        <v>4.4000000000000003E-3</v>
      </c>
      <c r="F7" s="7">
        <f>'PG MONTHLY DATA'!V7</f>
        <v>0.55000000000000004</v>
      </c>
      <c r="G7" s="6">
        <f t="shared" si="0"/>
        <v>5.5000000000000005E-3</v>
      </c>
      <c r="H7" s="7">
        <f>'PG MONTHLY DATA'!W7</f>
        <v>-1.31</v>
      </c>
      <c r="I7" s="6">
        <f t="shared" si="1"/>
        <v>-1.3100000000000001E-2</v>
      </c>
    </row>
    <row r="8" spans="1:13" ht="15" customHeight="1" thickBot="1" x14ac:dyDescent="0.4">
      <c r="A8" s="3">
        <f>'PG MONTHLY DATA'!A8</f>
        <v>45412</v>
      </c>
      <c r="B8" s="13">
        <f>'PG MONTHLY DATA'!K8</f>
        <v>1.155161787365108E-3</v>
      </c>
      <c r="C8" s="6">
        <f>'PG MONTHLY DATA'!H8</f>
        <v>-4.6500000000000007E-2</v>
      </c>
      <c r="D8" s="7">
        <f>'PG MONTHLY DATA'!I8</f>
        <v>0.47</v>
      </c>
      <c r="E8" s="6">
        <f>'PG MONTHLY DATA'!J8</f>
        <v>4.6999999999999993E-3</v>
      </c>
      <c r="F8" s="7">
        <f>'PG MONTHLY DATA'!V8</f>
        <v>-2.37</v>
      </c>
      <c r="G8" s="6">
        <f t="shared" si="0"/>
        <v>-2.3700000000000002E-2</v>
      </c>
      <c r="H8" s="7">
        <f>'PG MONTHLY DATA'!W8</f>
        <v>-0.45</v>
      </c>
      <c r="I8" s="6">
        <f t="shared" si="1"/>
        <v>-4.5000000000000005E-3</v>
      </c>
      <c r="K8" s="16" t="s">
        <v>42</v>
      </c>
      <c r="L8" s="17"/>
    </row>
    <row r="9" spans="1:13" ht="15" customHeight="1" x14ac:dyDescent="0.35">
      <c r="A9" s="3">
        <f>'PG MONTHLY DATA'!A9</f>
        <v>45382</v>
      </c>
      <c r="B9" s="13">
        <f>'PG MONTHLY DATA'!K9</f>
        <v>1.6525468730338506E-2</v>
      </c>
      <c r="C9" s="6">
        <f>'PG MONTHLY DATA'!H9</f>
        <v>2.8399999999999998E-2</v>
      </c>
      <c r="D9" s="7">
        <f>'PG MONTHLY DATA'!I9</f>
        <v>0.43</v>
      </c>
      <c r="E9" s="6">
        <f>'PG MONTHLY DATA'!J9</f>
        <v>4.3E-3</v>
      </c>
      <c r="F9" s="7">
        <f>'PG MONTHLY DATA'!V9</f>
        <v>-2.5</v>
      </c>
      <c r="G9" s="6">
        <f t="shared" si="0"/>
        <v>-2.5000000000000001E-2</v>
      </c>
      <c r="H9" s="7">
        <f>'PG MONTHLY DATA'!W9</f>
        <v>4.16</v>
      </c>
      <c r="I9" s="6">
        <f t="shared" si="1"/>
        <v>4.1599999999999998E-2</v>
      </c>
      <c r="K9" s="9" t="s">
        <v>43</v>
      </c>
      <c r="L9" s="13">
        <f>'FF3 Regression Output'!B16</f>
        <v>-2.2048177377568799E-4</v>
      </c>
      <c r="M9" s="5" t="s">
        <v>106</v>
      </c>
    </row>
    <row r="10" spans="1:13" ht="27.75" customHeight="1" x14ac:dyDescent="0.35">
      <c r="A10" s="3">
        <f>'PG MONTHLY DATA'!A10</f>
        <v>45351</v>
      </c>
      <c r="B10" s="13">
        <f>'PG MONTHLY DATA'!K10</f>
        <v>7.254753722795034E-3</v>
      </c>
      <c r="C10" s="6">
        <f>'PG MONTHLY DATA'!H10</f>
        <v>5.0700000000000002E-2</v>
      </c>
      <c r="D10" s="7">
        <f>'PG MONTHLY DATA'!I10</f>
        <v>0.42</v>
      </c>
      <c r="E10" s="6">
        <f>'PG MONTHLY DATA'!J10</f>
        <v>4.1999999999999997E-3</v>
      </c>
      <c r="F10" s="7">
        <f>'PG MONTHLY DATA'!V10</f>
        <v>-0.24</v>
      </c>
      <c r="G10" s="6">
        <f t="shared" si="0"/>
        <v>-2.3999999999999998E-3</v>
      </c>
      <c r="H10" s="7">
        <f>'PG MONTHLY DATA'!W10</f>
        <v>-3.43</v>
      </c>
      <c r="I10" s="6">
        <f t="shared" si="1"/>
        <v>-3.4300000000000004E-2</v>
      </c>
      <c r="K10" s="9" t="s">
        <v>44</v>
      </c>
      <c r="L10" s="13">
        <f>'FF3 Regression Output'!B17</f>
        <v>0.49479135371287802</v>
      </c>
      <c r="M10" s="5" t="s">
        <v>45</v>
      </c>
    </row>
    <row r="11" spans="1:13" ht="27.75" customHeight="1" x14ac:dyDescent="0.35">
      <c r="A11" s="3">
        <f>'PG MONTHLY DATA'!A11</f>
        <v>45322</v>
      </c>
      <c r="B11" s="13">
        <f>'PG MONTHLY DATA'!K11</f>
        <v>6.7635198580592304E-2</v>
      </c>
      <c r="C11" s="6">
        <f>'PG MONTHLY DATA'!H11</f>
        <v>7.3000000000000001E-3</v>
      </c>
      <c r="D11" s="7">
        <f>'PG MONTHLY DATA'!I11</f>
        <v>0.47</v>
      </c>
      <c r="E11" s="6">
        <f>'PG MONTHLY DATA'!J11</f>
        <v>4.6999999999999993E-3</v>
      </c>
      <c r="F11" s="7">
        <f>'PG MONTHLY DATA'!V11</f>
        <v>-5.07</v>
      </c>
      <c r="G11" s="6">
        <f t="shared" si="0"/>
        <v>-5.0700000000000002E-2</v>
      </c>
      <c r="H11" s="7">
        <f>'PG MONTHLY DATA'!W11</f>
        <v>-2.38</v>
      </c>
      <c r="I11" s="6">
        <f t="shared" si="1"/>
        <v>-2.3799999999999998E-2</v>
      </c>
      <c r="K11" s="9" t="s">
        <v>46</v>
      </c>
      <c r="L11" s="13">
        <f>'FF3 Regression Output'!B18</f>
        <v>-0.68087139449988598</v>
      </c>
      <c r="M11" s="5" t="s">
        <v>47</v>
      </c>
    </row>
    <row r="12" spans="1:13" ht="15" customHeight="1" x14ac:dyDescent="0.35">
      <c r="A12" s="3">
        <f>'PG MONTHLY DATA'!A12</f>
        <v>45291</v>
      </c>
      <c r="B12" s="13">
        <f>'PG MONTHLY DATA'!K12</f>
        <v>-4.9766388744137684E-2</v>
      </c>
      <c r="C12" s="6">
        <f>'PG MONTHLY DATA'!H12</f>
        <v>4.8499999999999995E-2</v>
      </c>
      <c r="D12" s="7">
        <f>'PG MONTHLY DATA'!I12</f>
        <v>0.43</v>
      </c>
      <c r="E12" s="6">
        <f>'PG MONTHLY DATA'!J12</f>
        <v>4.3E-3</v>
      </c>
      <c r="F12" s="7">
        <f>'PG MONTHLY DATA'!V12</f>
        <v>6.3</v>
      </c>
      <c r="G12" s="6">
        <f t="shared" si="0"/>
        <v>6.3E-2</v>
      </c>
      <c r="H12" s="7">
        <f>'PG MONTHLY DATA'!W12</f>
        <v>4.8899999999999997</v>
      </c>
      <c r="I12" s="6">
        <f t="shared" si="1"/>
        <v>4.8899999999999999E-2</v>
      </c>
      <c r="K12" s="9" t="s">
        <v>48</v>
      </c>
      <c r="L12" s="13">
        <f>'FF3 Regression Output'!B19</f>
        <v>6.7553287856455299E-2</v>
      </c>
      <c r="M12" s="5" t="s">
        <v>49</v>
      </c>
    </row>
    <row r="13" spans="1:13" ht="15" customHeight="1" thickBot="1" x14ac:dyDescent="0.4">
      <c r="A13" s="3">
        <f>'PG MONTHLY DATA'!A13</f>
        <v>45260</v>
      </c>
      <c r="B13" s="13">
        <f>'PG MONTHLY DATA'!K13</f>
        <v>1.8862014263813964E-2</v>
      </c>
      <c r="C13" s="6">
        <f>'PG MONTHLY DATA'!H13</f>
        <v>8.8800000000000004E-2</v>
      </c>
      <c r="D13" s="7">
        <f>'PG MONTHLY DATA'!I13</f>
        <v>0.44</v>
      </c>
      <c r="E13" s="6">
        <f>'PG MONTHLY DATA'!J13</f>
        <v>4.4000000000000003E-3</v>
      </c>
      <c r="F13" s="7">
        <f>'PG MONTHLY DATA'!V13</f>
        <v>-0.1</v>
      </c>
      <c r="G13" s="6">
        <f t="shared" si="0"/>
        <v>-1E-3</v>
      </c>
      <c r="H13" s="7">
        <f>'PG MONTHLY DATA'!W13</f>
        <v>1.67</v>
      </c>
      <c r="I13" s="6">
        <f t="shared" si="1"/>
        <v>1.67E-2</v>
      </c>
    </row>
    <row r="14" spans="1:13" ht="27" customHeight="1" thickBot="1" x14ac:dyDescent="0.4">
      <c r="A14" s="3">
        <f>'PG MONTHLY DATA'!A14</f>
        <v>45230</v>
      </c>
      <c r="B14" s="13">
        <f>'PG MONTHLY DATA'!K14</f>
        <v>2.3889058000822617E-2</v>
      </c>
      <c r="C14" s="6">
        <f>'PG MONTHLY DATA'!H14</f>
        <v>-3.15E-2</v>
      </c>
      <c r="D14" s="7">
        <f>'PG MONTHLY DATA'!I14</f>
        <v>0.47</v>
      </c>
      <c r="E14" s="6">
        <f>'PG MONTHLY DATA'!J14</f>
        <v>4.6999999999999993E-3</v>
      </c>
      <c r="F14" s="7">
        <f>'PG MONTHLY DATA'!V14</f>
        <v>-3.86</v>
      </c>
      <c r="G14" s="6">
        <f t="shared" si="0"/>
        <v>-3.8599999999999995E-2</v>
      </c>
      <c r="H14" s="7">
        <f>'PG MONTHLY DATA'!W14</f>
        <v>0.2</v>
      </c>
      <c r="I14" s="6">
        <f t="shared" si="1"/>
        <v>2E-3</v>
      </c>
      <c r="K14" s="16" t="s">
        <v>50</v>
      </c>
      <c r="L14" s="17"/>
    </row>
    <row r="15" spans="1:13" ht="15" customHeight="1" x14ac:dyDescent="0.35">
      <c r="A15" s="3">
        <f>'PG MONTHLY DATA'!A15</f>
        <v>45199</v>
      </c>
      <c r="B15" s="13">
        <f>'PG MONTHLY DATA'!K15</f>
        <v>-5.9243630944667551E-2</v>
      </c>
      <c r="C15" s="6">
        <f>'PG MONTHLY DATA'!H15</f>
        <v>-5.2300000000000006E-2</v>
      </c>
      <c r="D15" s="7">
        <f>'PG MONTHLY DATA'!I15</f>
        <v>0.43</v>
      </c>
      <c r="E15" s="6">
        <f>'PG MONTHLY DATA'!J15</f>
        <v>4.3E-3</v>
      </c>
      <c r="F15" s="7">
        <f>'PG MONTHLY DATA'!V15</f>
        <v>-2.5099999999999998</v>
      </c>
      <c r="G15" s="6">
        <f t="shared" si="0"/>
        <v>-2.5099999999999997E-2</v>
      </c>
      <c r="H15" s="7">
        <f>'PG MONTHLY DATA'!W15</f>
        <v>1.49</v>
      </c>
      <c r="I15" s="6">
        <f t="shared" si="1"/>
        <v>1.49E-2</v>
      </c>
      <c r="K15" s="9" t="s">
        <v>43</v>
      </c>
      <c r="L15" s="13">
        <f>'FF3 Regression Output'!B16</f>
        <v>-2.2048177377568799E-4</v>
      </c>
    </row>
    <row r="16" spans="1:13" ht="15" customHeight="1" x14ac:dyDescent="0.35">
      <c r="A16" s="3">
        <f>'PG MONTHLY DATA'!A16</f>
        <v>45169</v>
      </c>
      <c r="B16" s="13">
        <f>'PG MONTHLY DATA'!K16</f>
        <v>-1.7039987204094741E-2</v>
      </c>
      <c r="C16" s="6">
        <f>'PG MONTHLY DATA'!H16</f>
        <v>-2.3599999999999999E-2</v>
      </c>
      <c r="D16" s="7">
        <f>'PG MONTHLY DATA'!I16</f>
        <v>0.45</v>
      </c>
      <c r="E16" s="6">
        <f>'PG MONTHLY DATA'!J16</f>
        <v>4.5000000000000005E-3</v>
      </c>
      <c r="F16" s="7">
        <f>'PG MONTHLY DATA'!V16</f>
        <v>-3.14</v>
      </c>
      <c r="G16" s="6">
        <f t="shared" si="0"/>
        <v>-3.1400000000000004E-2</v>
      </c>
      <c r="H16" s="7">
        <f>'PG MONTHLY DATA'!W16</f>
        <v>-1.1499999999999999</v>
      </c>
      <c r="I16" s="6">
        <f t="shared" si="1"/>
        <v>-1.15E-2</v>
      </c>
      <c r="K16" s="9" t="s">
        <v>51</v>
      </c>
      <c r="L16" s="13">
        <f>'FF3 Regression Output'!C16</f>
        <v>3.2835040945589202E-3</v>
      </c>
    </row>
    <row r="17" spans="1:15" ht="15" customHeight="1" x14ac:dyDescent="0.35">
      <c r="A17" s="3">
        <f>'PG MONTHLY DATA'!A17</f>
        <v>45138</v>
      </c>
      <c r="B17" s="13">
        <f>'PG MONTHLY DATA'!K17</f>
        <v>2.5551403716884157E-2</v>
      </c>
      <c r="C17" s="6">
        <f>'PG MONTHLY DATA'!H17</f>
        <v>3.2099999999999997E-2</v>
      </c>
      <c r="D17" s="7">
        <f>'PG MONTHLY DATA'!I17</f>
        <v>0.45</v>
      </c>
      <c r="E17" s="6">
        <f>'PG MONTHLY DATA'!J17</f>
        <v>4.5000000000000005E-3</v>
      </c>
      <c r="F17" s="7">
        <f>'PG MONTHLY DATA'!V17</f>
        <v>2.0499999999999998</v>
      </c>
      <c r="G17" s="6">
        <f t="shared" si="0"/>
        <v>2.0499999999999997E-2</v>
      </c>
      <c r="H17" s="7">
        <f>'PG MONTHLY DATA'!W17</f>
        <v>4.0599999999999996</v>
      </c>
      <c r="I17" s="6">
        <f t="shared" si="1"/>
        <v>4.0599999999999997E-2</v>
      </c>
      <c r="K17" s="9" t="s">
        <v>52</v>
      </c>
      <c r="L17" s="13">
        <f>'FF3 Regression Output'!D16</f>
        <v>-6.7148316988867807E-2</v>
      </c>
      <c r="M17" s="9" t="s">
        <v>53</v>
      </c>
      <c r="N17" s="13">
        <f>_xlfn.T.INV(0.95,140)</f>
        <v>1.6558105109968806</v>
      </c>
    </row>
    <row r="18" spans="1:15" ht="15" customHeight="1" x14ac:dyDescent="0.35">
      <c r="A18" s="3">
        <f>'PG MONTHLY DATA'!A18</f>
        <v>45107</v>
      </c>
      <c r="B18" s="13">
        <f>'PG MONTHLY DATA'!K18</f>
        <v>6.0842105263157961E-2</v>
      </c>
      <c r="C18" s="6">
        <f>'PG MONTHLY DATA'!H18</f>
        <v>6.4600000000000005E-2</v>
      </c>
      <c r="D18" s="7">
        <f>'PG MONTHLY DATA'!I18</f>
        <v>0.4</v>
      </c>
      <c r="E18" s="6">
        <f>'PG MONTHLY DATA'!J18</f>
        <v>4.0000000000000001E-3</v>
      </c>
      <c r="F18" s="7">
        <f>'PG MONTHLY DATA'!V18</f>
        <v>1.49</v>
      </c>
      <c r="G18" s="6">
        <f t="shared" si="0"/>
        <v>1.49E-2</v>
      </c>
      <c r="H18" s="7">
        <f>'PG MONTHLY DATA'!W18</f>
        <v>-0.13</v>
      </c>
      <c r="I18" s="6">
        <f t="shared" si="1"/>
        <v>-1.2999999999999999E-3</v>
      </c>
      <c r="K18" s="10" t="s">
        <v>37</v>
      </c>
    </row>
    <row r="19" spans="1:15" ht="29" x14ac:dyDescent="0.35">
      <c r="A19" s="3">
        <f>'PG MONTHLY DATA'!A19</f>
        <v>45077</v>
      </c>
      <c r="B19" s="13">
        <f>'PG MONTHLY DATA'!K19</f>
        <v>-9.2358153216523825E-2</v>
      </c>
      <c r="C19" s="6">
        <f>'PG MONTHLY DATA'!H19</f>
        <v>3.4000000000000002E-3</v>
      </c>
      <c r="D19" s="7">
        <f>'PG MONTHLY DATA'!I19</f>
        <v>0.36</v>
      </c>
      <c r="E19" s="6">
        <f>'PG MONTHLY DATA'!J19</f>
        <v>3.5999999999999999E-3</v>
      </c>
      <c r="F19" s="7">
        <f>'PG MONTHLY DATA'!V19</f>
        <v>1.6</v>
      </c>
      <c r="G19" s="6">
        <f t="shared" si="0"/>
        <v>1.6E-2</v>
      </c>
      <c r="H19" s="7">
        <f>'PG MONTHLY DATA'!W19</f>
        <v>-7.79</v>
      </c>
      <c r="I19" s="6">
        <f t="shared" si="1"/>
        <v>-7.7899999999999997E-2</v>
      </c>
      <c r="K19" s="5" t="s">
        <v>54</v>
      </c>
    </row>
    <row r="20" spans="1:15" ht="15" customHeight="1" thickBot="1" x14ac:dyDescent="0.4">
      <c r="A20" s="3">
        <f>'PG MONTHLY DATA'!A20</f>
        <v>45046</v>
      </c>
      <c r="B20" s="13">
        <f>'PG MONTHLY DATA'!K20</f>
        <v>4.8218340170825186E-2</v>
      </c>
      <c r="C20" s="6">
        <f>'PG MONTHLY DATA'!H20</f>
        <v>6.1999999999999998E-3</v>
      </c>
      <c r="D20" s="7">
        <f>'PG MONTHLY DATA'!I20</f>
        <v>0.35</v>
      </c>
      <c r="E20" s="6">
        <f>'PG MONTHLY DATA'!J20</f>
        <v>3.4999999999999996E-3</v>
      </c>
      <c r="F20" s="7">
        <f>'PG MONTHLY DATA'!V20</f>
        <v>-3.37</v>
      </c>
      <c r="G20" s="6">
        <f t="shared" si="0"/>
        <v>-3.3700000000000001E-2</v>
      </c>
      <c r="H20" s="7">
        <f>'PG MONTHLY DATA'!W20</f>
        <v>-0.12</v>
      </c>
      <c r="I20" s="6">
        <f t="shared" si="1"/>
        <v>-1.1999999999999999E-3</v>
      </c>
      <c r="K20" s="9"/>
    </row>
    <row r="21" spans="1:15" ht="29" customHeight="1" thickBot="1" x14ac:dyDescent="0.4">
      <c r="A21" s="3">
        <f>'PG MONTHLY DATA'!A21</f>
        <v>45016</v>
      </c>
      <c r="B21" s="13">
        <f>'PG MONTHLY DATA'!K21</f>
        <v>7.7310148298924061E-2</v>
      </c>
      <c r="C21" s="6">
        <f>'PG MONTHLY DATA'!H21</f>
        <v>2.4799999999999999E-2</v>
      </c>
      <c r="D21" s="7">
        <f>'PG MONTHLY DATA'!I21</f>
        <v>0.36</v>
      </c>
      <c r="E21" s="6">
        <f>'PG MONTHLY DATA'!J21</f>
        <v>3.5999999999999999E-3</v>
      </c>
      <c r="F21" s="7">
        <f>'PG MONTHLY DATA'!V21</f>
        <v>-5.48</v>
      </c>
      <c r="G21" s="6">
        <f t="shared" si="0"/>
        <v>-5.4800000000000001E-2</v>
      </c>
      <c r="H21" s="7">
        <f>'PG MONTHLY DATA'!W21</f>
        <v>-9.0500000000000007</v>
      </c>
      <c r="I21" s="6">
        <f t="shared" si="1"/>
        <v>-9.0500000000000011E-2</v>
      </c>
      <c r="K21" s="16" t="s">
        <v>55</v>
      </c>
      <c r="L21" s="17"/>
    </row>
    <row r="22" spans="1:15" ht="15" customHeight="1" x14ac:dyDescent="0.35">
      <c r="A22" s="3">
        <f>'PG MONTHLY DATA'!A22</f>
        <v>44985</v>
      </c>
      <c r="B22" s="13">
        <f>'PG MONTHLY DATA'!K22</f>
        <v>-3.7253069251299294E-2</v>
      </c>
      <c r="C22" s="6">
        <f>'PG MONTHLY DATA'!H22</f>
        <v>-2.5699999999999997E-2</v>
      </c>
      <c r="D22" s="7">
        <f>'PG MONTHLY DATA'!I22</f>
        <v>0.34</v>
      </c>
      <c r="E22" s="6">
        <f>'PG MONTHLY DATA'!J22</f>
        <v>3.4000000000000002E-3</v>
      </c>
      <c r="F22" s="7">
        <f>'PG MONTHLY DATA'!V22</f>
        <v>1.05</v>
      </c>
      <c r="G22" s="6">
        <f t="shared" si="0"/>
        <v>1.0500000000000001E-2</v>
      </c>
      <c r="H22" s="7">
        <f>'PG MONTHLY DATA'!W22</f>
        <v>-0.8</v>
      </c>
      <c r="I22" s="6">
        <f t="shared" si="1"/>
        <v>-8.0000000000000002E-3</v>
      </c>
      <c r="K22" s="2" t="s">
        <v>56</v>
      </c>
      <c r="L22" s="13">
        <f>_xlfn.T.INV.2T(0.01,140)</f>
        <v>2.6114027111503373</v>
      </c>
    </row>
    <row r="23" spans="1:15" ht="15" customHeight="1" x14ac:dyDescent="0.35">
      <c r="A23" s="3">
        <f>'PG MONTHLY DATA'!A23</f>
        <v>44957</v>
      </c>
      <c r="B23" s="13">
        <f>'PG MONTHLY DATA'!K23</f>
        <v>-6.4070071258907402E-2</v>
      </c>
      <c r="C23" s="6">
        <f>'PG MONTHLY DATA'!H23</f>
        <v>6.6100000000000006E-2</v>
      </c>
      <c r="D23" s="7">
        <f>'PG MONTHLY DATA'!I23</f>
        <v>0.35</v>
      </c>
      <c r="E23" s="6">
        <f>'PG MONTHLY DATA'!J23</f>
        <v>3.4999999999999996E-3</v>
      </c>
      <c r="F23" s="7">
        <f>'PG MONTHLY DATA'!V23</f>
        <v>5.01</v>
      </c>
      <c r="G23" s="6">
        <f t="shared" si="0"/>
        <v>5.0099999999999999E-2</v>
      </c>
      <c r="H23" s="7">
        <f>'PG MONTHLY DATA'!W23</f>
        <v>-3.94</v>
      </c>
      <c r="I23" s="6">
        <f t="shared" si="1"/>
        <v>-3.9399999999999998E-2</v>
      </c>
      <c r="K23" s="9" t="s">
        <v>57</v>
      </c>
      <c r="L23" s="13">
        <f>'FF3 Regression Output'!D17</f>
        <v>6.4236031802820603</v>
      </c>
      <c r="M23" s="9" t="s">
        <v>32</v>
      </c>
      <c r="N23" s="13">
        <f>'FF3 Regression Output'!E17</f>
        <v>1.9365269388060799E-9</v>
      </c>
      <c r="O23" s="10" t="s">
        <v>58</v>
      </c>
    </row>
    <row r="24" spans="1:15" ht="15" customHeight="1" x14ac:dyDescent="0.35">
      <c r="A24" s="3">
        <f>'PG MONTHLY DATA'!A24</f>
        <v>44926</v>
      </c>
      <c r="B24" s="13">
        <f>'PG MONTHLY DATA'!K24</f>
        <v>1.2790104585679845E-2</v>
      </c>
      <c r="C24" s="6">
        <f>'PG MONTHLY DATA'!H24</f>
        <v>-6.3799999999999996E-2</v>
      </c>
      <c r="D24" s="7">
        <f>'PG MONTHLY DATA'!I24</f>
        <v>0.33</v>
      </c>
      <c r="E24" s="6">
        <f>'PG MONTHLY DATA'!J24</f>
        <v>3.3E-3</v>
      </c>
      <c r="F24" s="7">
        <f>'PG MONTHLY DATA'!V24</f>
        <v>-0.76</v>
      </c>
      <c r="G24" s="6">
        <f t="shared" si="0"/>
        <v>-7.6E-3</v>
      </c>
      <c r="H24" s="7">
        <f>'PG MONTHLY DATA'!W24</f>
        <v>1.34</v>
      </c>
      <c r="I24" s="6">
        <f t="shared" si="1"/>
        <v>1.34E-2</v>
      </c>
      <c r="K24" s="9" t="s">
        <v>59</v>
      </c>
      <c r="L24" s="13">
        <f>'FF3 Regression Output'!D18</f>
        <v>-5.4810295695848898</v>
      </c>
      <c r="M24" s="9" t="s">
        <v>32</v>
      </c>
      <c r="N24" s="13">
        <f>'FF3 Regression Output'!E18</f>
        <v>1.91138846528105E-7</v>
      </c>
      <c r="O24" s="10" t="s">
        <v>58</v>
      </c>
    </row>
    <row r="25" spans="1:15" ht="15" customHeight="1" x14ac:dyDescent="0.35">
      <c r="A25" s="3">
        <f>'PG MONTHLY DATA'!A25</f>
        <v>44895</v>
      </c>
      <c r="B25" s="13">
        <f>'PG MONTHLY DATA'!K25</f>
        <v>0.10469634662508362</v>
      </c>
      <c r="C25" s="6">
        <f>'PG MONTHLY DATA'!H25</f>
        <v>4.6500000000000007E-2</v>
      </c>
      <c r="D25" s="7">
        <f>'PG MONTHLY DATA'!I25</f>
        <v>0.28999999999999998</v>
      </c>
      <c r="E25" s="6">
        <f>'PG MONTHLY DATA'!J25</f>
        <v>2.8999999999999998E-3</v>
      </c>
      <c r="F25" s="7">
        <f>'PG MONTHLY DATA'!V25</f>
        <v>-3.57</v>
      </c>
      <c r="G25" s="6">
        <f t="shared" si="0"/>
        <v>-3.5699999999999996E-2</v>
      </c>
      <c r="H25" s="7">
        <f>'PG MONTHLY DATA'!W25</f>
        <v>1.48</v>
      </c>
      <c r="I25" s="6">
        <f t="shared" si="1"/>
        <v>1.4800000000000001E-2</v>
      </c>
      <c r="K25" s="9" t="s">
        <v>60</v>
      </c>
      <c r="L25" s="13">
        <f>'FF3 Regression Output'!D19</f>
        <v>0.74869744381163195</v>
      </c>
      <c r="M25" s="9" t="s">
        <v>32</v>
      </c>
      <c r="N25" s="13">
        <f>'FF3 Regression Output'!E19</f>
        <v>0.455295593295372</v>
      </c>
      <c r="O25" s="9" t="s">
        <v>61</v>
      </c>
    </row>
    <row r="26" spans="1:15" ht="15" customHeight="1" x14ac:dyDescent="0.35">
      <c r="A26" s="3">
        <f>'PG MONTHLY DATA'!A26</f>
        <v>44865</v>
      </c>
      <c r="B26" s="13">
        <f>'PG MONTHLY DATA'!K26</f>
        <v>6.4393069306930603E-2</v>
      </c>
      <c r="C26" s="6">
        <f>'PG MONTHLY DATA'!H26</f>
        <v>7.85E-2</v>
      </c>
      <c r="D26" s="7">
        <f>'PG MONTHLY DATA'!I26</f>
        <v>0.23</v>
      </c>
      <c r="E26" s="6">
        <f>'PG MONTHLY DATA'!J26</f>
        <v>2.3E-3</v>
      </c>
      <c r="F26" s="7">
        <f>'PG MONTHLY DATA'!V26</f>
        <v>0.01</v>
      </c>
      <c r="G26" s="6">
        <f t="shared" si="0"/>
        <v>1E-4</v>
      </c>
      <c r="H26" s="7">
        <f>'PG MONTHLY DATA'!W26</f>
        <v>7.97</v>
      </c>
      <c r="I26" s="6">
        <f t="shared" si="1"/>
        <v>7.9699999999999993E-2</v>
      </c>
      <c r="L26" s="14"/>
    </row>
    <row r="27" spans="1:15" ht="15" customHeight="1" x14ac:dyDescent="0.35">
      <c r="A27" s="3">
        <f>'PG MONTHLY DATA'!A27</f>
        <v>44834</v>
      </c>
      <c r="B27" s="13">
        <f>'PG MONTHLY DATA'!K27</f>
        <v>-8.6646991445556029E-2</v>
      </c>
      <c r="C27" s="6">
        <f>'PG MONTHLY DATA'!H27</f>
        <v>-9.3399999999999997E-2</v>
      </c>
      <c r="D27" s="7">
        <f>'PG MONTHLY DATA'!I27</f>
        <v>0.19</v>
      </c>
      <c r="E27" s="6">
        <f>'PG MONTHLY DATA'!J27</f>
        <v>1.9E-3</v>
      </c>
      <c r="F27" s="7">
        <f>'PG MONTHLY DATA'!V27</f>
        <v>-0.76</v>
      </c>
      <c r="G27" s="6">
        <f t="shared" si="0"/>
        <v>-7.6E-3</v>
      </c>
      <c r="H27" s="7">
        <f>'PG MONTHLY DATA'!W27</f>
        <v>0.03</v>
      </c>
      <c r="I27" s="6">
        <f t="shared" si="1"/>
        <v>2.9999999999999997E-4</v>
      </c>
      <c r="L27" s="14"/>
    </row>
    <row r="28" spans="1:15" ht="15" customHeight="1" x14ac:dyDescent="0.35">
      <c r="A28" s="3">
        <f>'PG MONTHLY DATA'!A28</f>
        <v>44804</v>
      </c>
      <c r="B28" s="13">
        <f>'PG MONTHLY DATA'!K28</f>
        <v>-8.8829385933338056E-3</v>
      </c>
      <c r="C28" s="6">
        <f>'PG MONTHLY DATA'!H28</f>
        <v>-3.7699999999999997E-2</v>
      </c>
      <c r="D28" s="7">
        <f>'PG MONTHLY DATA'!I28</f>
        <v>0.19</v>
      </c>
      <c r="E28" s="6">
        <f>'PG MONTHLY DATA'!J28</f>
        <v>1.9E-3</v>
      </c>
      <c r="F28" s="7">
        <f>'PG MONTHLY DATA'!V28</f>
        <v>1.41</v>
      </c>
      <c r="G28" s="6">
        <f t="shared" si="0"/>
        <v>1.41E-2</v>
      </c>
      <c r="H28" s="7">
        <f>'PG MONTHLY DATA'!W28</f>
        <v>0.18</v>
      </c>
      <c r="I28" s="6">
        <f t="shared" si="1"/>
        <v>1.8E-3</v>
      </c>
      <c r="L28" s="14"/>
    </row>
    <row r="29" spans="1:15" ht="15" customHeight="1" x14ac:dyDescent="0.35">
      <c r="A29" s="3">
        <f>'PG MONTHLY DATA'!A29</f>
        <v>44773</v>
      </c>
      <c r="B29" s="13">
        <f>'PG MONTHLY DATA'!K29</f>
        <v>-3.473838236316848E-2</v>
      </c>
      <c r="C29" s="6">
        <f>'PG MONTHLY DATA'!H29</f>
        <v>9.5700000000000007E-2</v>
      </c>
      <c r="D29" s="7">
        <f>'PG MONTHLY DATA'!I29</f>
        <v>0.08</v>
      </c>
      <c r="E29" s="6">
        <f>'PG MONTHLY DATA'!J29</f>
        <v>8.0000000000000004E-4</v>
      </c>
      <c r="F29" s="7">
        <f>'PG MONTHLY DATA'!V29</f>
        <v>2.84</v>
      </c>
      <c r="G29" s="6">
        <f t="shared" si="0"/>
        <v>2.8399999999999998E-2</v>
      </c>
      <c r="H29" s="7">
        <f>'PG MONTHLY DATA'!W29</f>
        <v>-4.1500000000000004</v>
      </c>
      <c r="I29" s="6">
        <f t="shared" si="1"/>
        <v>-4.1500000000000002E-2</v>
      </c>
    </row>
    <row r="30" spans="1:15" ht="15" customHeight="1" x14ac:dyDescent="0.35">
      <c r="A30" s="3">
        <f>'PG MONTHLY DATA'!A30</f>
        <v>44742</v>
      </c>
      <c r="B30" s="13">
        <f>'PG MONTHLY DATA'!K30</f>
        <v>-2.8257560183932943E-2</v>
      </c>
      <c r="C30" s="6">
        <f>'PG MONTHLY DATA'!H30</f>
        <v>-8.4000000000000005E-2</v>
      </c>
      <c r="D30" s="7">
        <f>'PG MONTHLY DATA'!I30</f>
        <v>0.06</v>
      </c>
      <c r="E30" s="6">
        <f>'PG MONTHLY DATA'!J30</f>
        <v>5.9999999999999995E-4</v>
      </c>
      <c r="F30" s="7">
        <f>'PG MONTHLY DATA'!V30</f>
        <v>2.0699999999999998</v>
      </c>
      <c r="G30" s="6">
        <f t="shared" si="0"/>
        <v>2.07E-2</v>
      </c>
      <c r="H30" s="7">
        <f>'PG MONTHLY DATA'!W30</f>
        <v>-6</v>
      </c>
      <c r="I30" s="6">
        <f t="shared" si="1"/>
        <v>-0.06</v>
      </c>
    </row>
    <row r="31" spans="1:15" ht="15" customHeight="1" x14ac:dyDescent="0.35">
      <c r="A31" s="3">
        <f>'PG MONTHLY DATA'!A31</f>
        <v>44712</v>
      </c>
      <c r="B31" s="13">
        <f>'PG MONTHLY DATA'!K31</f>
        <v>-7.9216225474930013E-2</v>
      </c>
      <c r="C31" s="6">
        <f>'PG MONTHLY DATA'!H31</f>
        <v>-3.4000000000000002E-3</v>
      </c>
      <c r="D31" s="7">
        <f>'PG MONTHLY DATA'!I31</f>
        <v>0.03</v>
      </c>
      <c r="E31" s="6">
        <f>'PG MONTHLY DATA'!J31</f>
        <v>2.9999999999999997E-4</v>
      </c>
      <c r="F31" s="7">
        <f>'PG MONTHLY DATA'!V31</f>
        <v>-1.84</v>
      </c>
      <c r="G31" s="6">
        <f t="shared" si="0"/>
        <v>-1.84E-2</v>
      </c>
      <c r="H31" s="7">
        <f>'PG MONTHLY DATA'!W31</f>
        <v>8.44</v>
      </c>
      <c r="I31" s="6">
        <f t="shared" si="1"/>
        <v>8.4399999999999989E-2</v>
      </c>
    </row>
    <row r="32" spans="1:15" ht="15" customHeight="1" x14ac:dyDescent="0.35">
      <c r="A32" s="3">
        <f>'PG MONTHLY DATA'!A32</f>
        <v>44681</v>
      </c>
      <c r="B32" s="13">
        <f>'PG MONTHLY DATA'!K32</f>
        <v>5.071989528795811E-2</v>
      </c>
      <c r="C32" s="6">
        <f>'PG MONTHLY DATA'!H32</f>
        <v>-9.4100000000000003E-2</v>
      </c>
      <c r="D32" s="7">
        <f>'PG MONTHLY DATA'!I32</f>
        <v>0</v>
      </c>
      <c r="E32" s="6">
        <f>'PG MONTHLY DATA'!J32</f>
        <v>0</v>
      </c>
      <c r="F32" s="7">
        <f>'PG MONTHLY DATA'!V32</f>
        <v>-1.35</v>
      </c>
      <c r="G32" s="6">
        <f t="shared" si="0"/>
        <v>-1.3500000000000002E-2</v>
      </c>
      <c r="H32" s="7">
        <f>'PG MONTHLY DATA'!W32</f>
        <v>6.18</v>
      </c>
      <c r="I32" s="6">
        <f t="shared" si="1"/>
        <v>6.1799999999999994E-2</v>
      </c>
    </row>
    <row r="33" spans="1:9" ht="15" customHeight="1" x14ac:dyDescent="0.35">
      <c r="A33" s="3">
        <f>'PG MONTHLY DATA'!A33</f>
        <v>44651</v>
      </c>
      <c r="B33" s="13">
        <f>'PG MONTHLY DATA'!K33</f>
        <v>-1.9821669125665374E-2</v>
      </c>
      <c r="C33" s="6">
        <f>'PG MONTHLY DATA'!H33</f>
        <v>3.0800000000000001E-2</v>
      </c>
      <c r="D33" s="7">
        <f>'PG MONTHLY DATA'!I33</f>
        <v>0</v>
      </c>
      <c r="E33" s="6">
        <f>'PG MONTHLY DATA'!J33</f>
        <v>0</v>
      </c>
      <c r="F33" s="7">
        <f>'PG MONTHLY DATA'!V33</f>
        <v>-1.55</v>
      </c>
      <c r="G33" s="6">
        <f t="shared" si="0"/>
        <v>-1.55E-2</v>
      </c>
      <c r="H33" s="7">
        <f>'PG MONTHLY DATA'!W33</f>
        <v>-1.9</v>
      </c>
      <c r="I33" s="6">
        <f t="shared" si="1"/>
        <v>-1.9E-2</v>
      </c>
    </row>
    <row r="34" spans="1:9" ht="15" customHeight="1" x14ac:dyDescent="0.35">
      <c r="A34" s="3">
        <f>'PG MONTHLY DATA'!A34</f>
        <v>44620</v>
      </c>
      <c r="B34" s="13">
        <f>'PG MONTHLY DATA'!K34</f>
        <v>-2.8420068557182938E-2</v>
      </c>
      <c r="C34" s="6">
        <f>'PG MONTHLY DATA'!H34</f>
        <v>-2.2799999999999997E-2</v>
      </c>
      <c r="D34" s="7">
        <f>'PG MONTHLY DATA'!I34</f>
        <v>0</v>
      </c>
      <c r="E34" s="6">
        <f>'PG MONTHLY DATA'!J34</f>
        <v>0</v>
      </c>
      <c r="F34" s="7">
        <f>'PG MONTHLY DATA'!V34</f>
        <v>2.16</v>
      </c>
      <c r="G34" s="6">
        <f t="shared" ref="G34:G65" si="2">F34/100</f>
        <v>2.1600000000000001E-2</v>
      </c>
      <c r="H34" s="7">
        <f>'PG MONTHLY DATA'!W34</f>
        <v>3.06</v>
      </c>
      <c r="I34" s="6">
        <f t="shared" ref="I34:I65" si="3">H34/100</f>
        <v>3.0600000000000002E-2</v>
      </c>
    </row>
    <row r="35" spans="1:9" ht="15" customHeight="1" x14ac:dyDescent="0.35">
      <c r="A35" s="3">
        <f>'PG MONTHLY DATA'!A35</f>
        <v>44592</v>
      </c>
      <c r="B35" s="13">
        <f>'PG MONTHLY DATA'!K35</f>
        <v>-1.913436850470732E-2</v>
      </c>
      <c r="C35" s="6">
        <f>'PG MONTHLY DATA'!H35</f>
        <v>-6.1600000000000002E-2</v>
      </c>
      <c r="D35" s="7">
        <f>'PG MONTHLY DATA'!I35</f>
        <v>0</v>
      </c>
      <c r="E35" s="6">
        <f>'PG MONTHLY DATA'!J35</f>
        <v>0</v>
      </c>
      <c r="F35" s="7">
        <f>'PG MONTHLY DATA'!V35</f>
        <v>-5.93</v>
      </c>
      <c r="G35" s="6">
        <f t="shared" si="2"/>
        <v>-5.9299999999999999E-2</v>
      </c>
      <c r="H35" s="7">
        <f>'PG MONTHLY DATA'!W35</f>
        <v>12.86</v>
      </c>
      <c r="I35" s="6">
        <f t="shared" si="3"/>
        <v>0.12859999999999999</v>
      </c>
    </row>
    <row r="36" spans="1:9" ht="15" customHeight="1" x14ac:dyDescent="0.35">
      <c r="A36" s="3">
        <f>'PG MONTHLY DATA'!A36</f>
        <v>44561</v>
      </c>
      <c r="B36" s="13">
        <f>'PG MONTHLY DATA'!K36</f>
        <v>0.13131513349010929</v>
      </c>
      <c r="C36" s="6">
        <f>'PG MONTHLY DATA'!H36</f>
        <v>3.2300000000000002E-2</v>
      </c>
      <c r="D36" s="7">
        <f>'PG MONTHLY DATA'!I36</f>
        <v>0.01</v>
      </c>
      <c r="E36" s="6">
        <f>'PG MONTHLY DATA'!J36</f>
        <v>1E-4</v>
      </c>
      <c r="F36" s="7">
        <f>'PG MONTHLY DATA'!V36</f>
        <v>-1.63</v>
      </c>
      <c r="G36" s="6">
        <f t="shared" si="2"/>
        <v>-1.6299999999999999E-2</v>
      </c>
      <c r="H36" s="7">
        <f>'PG MONTHLY DATA'!W36</f>
        <v>3.25</v>
      </c>
      <c r="I36" s="6">
        <f t="shared" si="3"/>
        <v>3.2500000000000001E-2</v>
      </c>
    </row>
    <row r="37" spans="1:9" ht="15" customHeight="1" x14ac:dyDescent="0.35">
      <c r="A37" s="3">
        <f>'PG MONTHLY DATA'!A37</f>
        <v>44530</v>
      </c>
      <c r="B37" s="13">
        <f>'PG MONTHLY DATA'!K37</f>
        <v>1.1119658717392848E-2</v>
      </c>
      <c r="C37" s="6">
        <f>'PG MONTHLY DATA'!H37</f>
        <v>-1.5800000000000002E-2</v>
      </c>
      <c r="D37" s="7">
        <f>'PG MONTHLY DATA'!I37</f>
        <v>0</v>
      </c>
      <c r="E37" s="6">
        <f>'PG MONTHLY DATA'!J37</f>
        <v>0</v>
      </c>
      <c r="F37" s="7">
        <f>'PG MONTHLY DATA'!V37</f>
        <v>-1.31</v>
      </c>
      <c r="G37" s="6">
        <f t="shared" si="2"/>
        <v>-1.3100000000000001E-2</v>
      </c>
      <c r="H37" s="7">
        <f>'PG MONTHLY DATA'!W37</f>
        <v>-0.37</v>
      </c>
      <c r="I37" s="6">
        <f t="shared" si="3"/>
        <v>-3.7000000000000002E-3</v>
      </c>
    </row>
    <row r="38" spans="1:9" ht="15" customHeight="1" x14ac:dyDescent="0.35">
      <c r="A38" s="3">
        <f>'PG MONTHLY DATA'!A38</f>
        <v>44500</v>
      </c>
      <c r="B38" s="13">
        <f>'PG MONTHLY DATA'!K38</f>
        <v>2.2818311874105848E-2</v>
      </c>
      <c r="C38" s="6">
        <f>'PG MONTHLY DATA'!H38</f>
        <v>6.6299999999999998E-2</v>
      </c>
      <c r="D38" s="7">
        <f>'PG MONTHLY DATA'!I38</f>
        <v>0</v>
      </c>
      <c r="E38" s="6">
        <f>'PG MONTHLY DATA'!J38</f>
        <v>0</v>
      </c>
      <c r="F38" s="7">
        <f>'PG MONTHLY DATA'!V38</f>
        <v>-2.2599999999999998</v>
      </c>
      <c r="G38" s="6">
        <f t="shared" si="2"/>
        <v>-2.2599999999999999E-2</v>
      </c>
      <c r="H38" s="7">
        <f>'PG MONTHLY DATA'!W38</f>
        <v>-0.53</v>
      </c>
      <c r="I38" s="6">
        <f t="shared" si="3"/>
        <v>-5.3E-3</v>
      </c>
    </row>
    <row r="39" spans="1:9" ht="15" customHeight="1" x14ac:dyDescent="0.35">
      <c r="A39" s="3">
        <f>'PG MONTHLY DATA'!A39</f>
        <v>44469</v>
      </c>
      <c r="B39" s="13">
        <f>'PG MONTHLY DATA'!K39</f>
        <v>-1.8189479598286224E-2</v>
      </c>
      <c r="C39" s="6">
        <f>'PG MONTHLY DATA'!H39</f>
        <v>-4.4000000000000004E-2</v>
      </c>
      <c r="D39" s="7">
        <f>'PG MONTHLY DATA'!I39</f>
        <v>0</v>
      </c>
      <c r="E39" s="6">
        <f>'PG MONTHLY DATA'!J39</f>
        <v>0</v>
      </c>
      <c r="F39" s="7">
        <f>'PG MONTHLY DATA'!V39</f>
        <v>0.66</v>
      </c>
      <c r="G39" s="6">
        <f t="shared" si="2"/>
        <v>6.6E-3</v>
      </c>
      <c r="H39" s="7">
        <f>'PG MONTHLY DATA'!W39</f>
        <v>5.12</v>
      </c>
      <c r="I39" s="6">
        <f t="shared" si="3"/>
        <v>5.1200000000000002E-2</v>
      </c>
    </row>
    <row r="40" spans="1:9" ht="15" customHeight="1" x14ac:dyDescent="0.35">
      <c r="A40" s="3">
        <f>'PG MONTHLY DATA'!A40</f>
        <v>44439</v>
      </c>
      <c r="B40" s="13">
        <f>'PG MONTHLY DATA'!K40</f>
        <v>1.124938479926855E-3</v>
      </c>
      <c r="C40" s="6">
        <f>'PG MONTHLY DATA'!H40</f>
        <v>2.9399999999999999E-2</v>
      </c>
      <c r="D40" s="7">
        <f>'PG MONTHLY DATA'!I40</f>
        <v>0</v>
      </c>
      <c r="E40" s="6">
        <f>'PG MONTHLY DATA'!J40</f>
        <v>0</v>
      </c>
      <c r="F40" s="7">
        <f>'PG MONTHLY DATA'!V40</f>
        <v>-0.32</v>
      </c>
      <c r="G40" s="6">
        <f t="shared" si="2"/>
        <v>-3.2000000000000002E-3</v>
      </c>
      <c r="H40" s="7">
        <f>'PG MONTHLY DATA'!W40</f>
        <v>-0.23</v>
      </c>
      <c r="I40" s="6">
        <f t="shared" si="3"/>
        <v>-2.3E-3</v>
      </c>
    </row>
    <row r="41" spans="1:9" ht="15" customHeight="1" x14ac:dyDescent="0.35">
      <c r="A41" s="3">
        <f>'PG MONTHLY DATA'!A41</f>
        <v>44408</v>
      </c>
      <c r="B41" s="13">
        <f>'PG MONTHLY DATA'!K41</f>
        <v>5.4102127028829633E-2</v>
      </c>
      <c r="C41" s="6">
        <f>'PG MONTHLY DATA'!H41</f>
        <v>1.34E-2</v>
      </c>
      <c r="D41" s="7">
        <f>'PG MONTHLY DATA'!I41</f>
        <v>0</v>
      </c>
      <c r="E41" s="6">
        <f>'PG MONTHLY DATA'!J41</f>
        <v>0</v>
      </c>
      <c r="F41" s="7">
        <f>'PG MONTHLY DATA'!V41</f>
        <v>-3.93</v>
      </c>
      <c r="G41" s="6">
        <f t="shared" si="2"/>
        <v>-3.9300000000000002E-2</v>
      </c>
      <c r="H41" s="7">
        <f>'PG MONTHLY DATA'!W41</f>
        <v>-1.79</v>
      </c>
      <c r="I41" s="6">
        <f t="shared" si="3"/>
        <v>-1.7899999999999999E-2</v>
      </c>
    </row>
    <row r="42" spans="1:9" ht="15" customHeight="1" x14ac:dyDescent="0.35">
      <c r="A42" s="3">
        <f>'PG MONTHLY DATA'!A42</f>
        <v>44377</v>
      </c>
      <c r="B42" s="13">
        <f>'PG MONTHLY DATA'!K42</f>
        <v>5.9325176121625891E-4</v>
      </c>
      <c r="C42" s="6">
        <f>'PG MONTHLY DATA'!H42</f>
        <v>2.7400000000000001E-2</v>
      </c>
      <c r="D42" s="7">
        <f>'PG MONTHLY DATA'!I42</f>
        <v>0</v>
      </c>
      <c r="E42" s="6">
        <f>'PG MONTHLY DATA'!J42</f>
        <v>0</v>
      </c>
      <c r="F42" s="7">
        <f>'PG MONTHLY DATA'!V42</f>
        <v>1.7</v>
      </c>
      <c r="G42" s="6">
        <f t="shared" si="2"/>
        <v>1.7000000000000001E-2</v>
      </c>
      <c r="H42" s="7">
        <f>'PG MONTHLY DATA'!W42</f>
        <v>-7.86</v>
      </c>
      <c r="I42" s="6">
        <f t="shared" si="3"/>
        <v>-7.8600000000000003E-2</v>
      </c>
    </row>
    <row r="43" spans="1:9" ht="15" customHeight="1" x14ac:dyDescent="0.35">
      <c r="A43" s="3">
        <f>'PG MONTHLY DATA'!A43</f>
        <v>44347</v>
      </c>
      <c r="B43" s="13">
        <f>'PG MONTHLY DATA'!K43</f>
        <v>1.0718033278369113E-2</v>
      </c>
      <c r="C43" s="6">
        <f>'PG MONTHLY DATA'!H43</f>
        <v>3.0000000000000001E-3</v>
      </c>
      <c r="D43" s="7">
        <f>'PG MONTHLY DATA'!I43</f>
        <v>0</v>
      </c>
      <c r="E43" s="6">
        <f>'PG MONTHLY DATA'!J43</f>
        <v>0</v>
      </c>
      <c r="F43" s="7">
        <f>'PG MONTHLY DATA'!V43</f>
        <v>-0.2</v>
      </c>
      <c r="G43" s="6">
        <f t="shared" si="2"/>
        <v>-2E-3</v>
      </c>
      <c r="H43" s="7">
        <f>'PG MONTHLY DATA'!W43</f>
        <v>7.04</v>
      </c>
      <c r="I43" s="6">
        <f t="shared" si="3"/>
        <v>7.0400000000000004E-2</v>
      </c>
    </row>
    <row r="44" spans="1:9" ht="15" customHeight="1" x14ac:dyDescent="0.35">
      <c r="A44" s="3">
        <f>'PG MONTHLY DATA'!A44</f>
        <v>44316</v>
      </c>
      <c r="B44" s="13">
        <f>'PG MONTHLY DATA'!K44</f>
        <v>-1.4841615594772348E-2</v>
      </c>
      <c r="C44" s="6">
        <f>'PG MONTHLY DATA'!H44</f>
        <v>4.9500000000000002E-2</v>
      </c>
      <c r="D44" s="7">
        <f>'PG MONTHLY DATA'!I44</f>
        <v>0</v>
      </c>
      <c r="E44" s="6">
        <f>'PG MONTHLY DATA'!J44</f>
        <v>0</v>
      </c>
      <c r="F44" s="7">
        <f>'PG MONTHLY DATA'!V44</f>
        <v>-3.19</v>
      </c>
      <c r="G44" s="6">
        <f t="shared" si="2"/>
        <v>-3.1899999999999998E-2</v>
      </c>
      <c r="H44" s="7">
        <f>'PG MONTHLY DATA'!W44</f>
        <v>-1.02</v>
      </c>
      <c r="I44" s="6">
        <f t="shared" si="3"/>
        <v>-1.0200000000000001E-2</v>
      </c>
    </row>
    <row r="45" spans="1:9" ht="15" customHeight="1" x14ac:dyDescent="0.35">
      <c r="A45" s="3">
        <f>'PG MONTHLY DATA'!A45</f>
        <v>44286</v>
      </c>
      <c r="B45" s="13">
        <f>'PG MONTHLY DATA'!K45</f>
        <v>9.6332874605359067E-2</v>
      </c>
      <c r="C45" s="6">
        <f>'PG MONTHLY DATA'!H45</f>
        <v>3.1600000000000003E-2</v>
      </c>
      <c r="D45" s="7">
        <f>'PG MONTHLY DATA'!I45</f>
        <v>0</v>
      </c>
      <c r="E45" s="6">
        <f>'PG MONTHLY DATA'!J45</f>
        <v>0</v>
      </c>
      <c r="F45" s="7">
        <f>'PG MONTHLY DATA'!V45</f>
        <v>-2.33</v>
      </c>
      <c r="G45" s="6">
        <f t="shared" si="2"/>
        <v>-2.3300000000000001E-2</v>
      </c>
      <c r="H45" s="7">
        <f>'PG MONTHLY DATA'!W45</f>
        <v>7.35</v>
      </c>
      <c r="I45" s="6">
        <f t="shared" si="3"/>
        <v>7.3499999999999996E-2</v>
      </c>
    </row>
    <row r="46" spans="1:9" ht="15" customHeight="1" x14ac:dyDescent="0.35">
      <c r="A46" s="3">
        <f>'PG MONTHLY DATA'!A46</f>
        <v>44255</v>
      </c>
      <c r="B46" s="13">
        <f>'PG MONTHLY DATA'!K46</f>
        <v>-3.6502612900709823E-2</v>
      </c>
      <c r="C46" s="6">
        <f>'PG MONTHLY DATA'!H46</f>
        <v>2.81E-2</v>
      </c>
      <c r="D46" s="7">
        <f>'PG MONTHLY DATA'!I46</f>
        <v>0</v>
      </c>
      <c r="E46" s="6">
        <f>'PG MONTHLY DATA'!J46</f>
        <v>0</v>
      </c>
      <c r="F46" s="7">
        <f>'PG MONTHLY DATA'!V46</f>
        <v>2.02</v>
      </c>
      <c r="G46" s="6">
        <f t="shared" si="2"/>
        <v>2.0199999999999999E-2</v>
      </c>
      <c r="H46" s="7">
        <f>'PG MONTHLY DATA'!W46</f>
        <v>7.2</v>
      </c>
      <c r="I46" s="6">
        <f t="shared" si="3"/>
        <v>7.2000000000000008E-2</v>
      </c>
    </row>
    <row r="47" spans="1:9" ht="15" customHeight="1" x14ac:dyDescent="0.35">
      <c r="A47" s="3">
        <f>'PG MONTHLY DATA'!A47</f>
        <v>44227</v>
      </c>
      <c r="B47" s="13">
        <f>'PG MONTHLY DATA'!K47</f>
        <v>-7.8553974414258876E-2</v>
      </c>
      <c r="C47" s="6">
        <f>'PG MONTHLY DATA'!H47</f>
        <v>-7.000000000000001E-4</v>
      </c>
      <c r="D47" s="7">
        <f>'PG MONTHLY DATA'!I47</f>
        <v>0</v>
      </c>
      <c r="E47" s="6">
        <f>'PG MONTHLY DATA'!J47</f>
        <v>0</v>
      </c>
      <c r="F47" s="7">
        <f>'PG MONTHLY DATA'!V47</f>
        <v>7.14</v>
      </c>
      <c r="G47" s="6">
        <f t="shared" si="2"/>
        <v>7.1399999999999991E-2</v>
      </c>
      <c r="H47" s="7">
        <f>'PG MONTHLY DATA'!W47</f>
        <v>3.22</v>
      </c>
      <c r="I47" s="6">
        <f t="shared" si="3"/>
        <v>3.2199999999999999E-2</v>
      </c>
    </row>
    <row r="48" spans="1:9" ht="15" customHeight="1" x14ac:dyDescent="0.35">
      <c r="A48" s="3">
        <f>'PG MONTHLY DATA'!A48</f>
        <v>44196</v>
      </c>
      <c r="B48" s="13">
        <f>'PG MONTHLY DATA'!K48</f>
        <v>1.8442644199609837E-3</v>
      </c>
      <c r="C48" s="6">
        <f>'PG MONTHLY DATA'!H48</f>
        <v>4.6300000000000001E-2</v>
      </c>
      <c r="D48" s="7">
        <f>'PG MONTHLY DATA'!I48</f>
        <v>0.01</v>
      </c>
      <c r="E48" s="6">
        <f>'PG MONTHLY DATA'!J48</f>
        <v>1E-4</v>
      </c>
      <c r="F48" s="7">
        <f>'PG MONTHLY DATA'!V48</f>
        <v>5.01</v>
      </c>
      <c r="G48" s="6">
        <f t="shared" si="2"/>
        <v>5.0099999999999999E-2</v>
      </c>
      <c r="H48" s="7">
        <f>'PG MONTHLY DATA'!W48</f>
        <v>-1.68</v>
      </c>
      <c r="I48" s="6">
        <f t="shared" si="3"/>
        <v>-1.6799999999999999E-2</v>
      </c>
    </row>
    <row r="49" spans="1:9" ht="15" customHeight="1" x14ac:dyDescent="0.35">
      <c r="A49" s="3">
        <f>'PG MONTHLY DATA'!A49</f>
        <v>44165</v>
      </c>
      <c r="B49" s="13">
        <f>'PG MONTHLY DATA'!K49</f>
        <v>1.2810284463895044E-2</v>
      </c>
      <c r="C49" s="6">
        <f>'PG MONTHLY DATA'!H49</f>
        <v>0.1245</v>
      </c>
      <c r="D49" s="7">
        <f>'PG MONTHLY DATA'!I49</f>
        <v>0.01</v>
      </c>
      <c r="E49" s="6">
        <f>'PG MONTHLY DATA'!J49</f>
        <v>1E-4</v>
      </c>
      <c r="F49" s="7">
        <f>'PG MONTHLY DATA'!V49</f>
        <v>5.81</v>
      </c>
      <c r="G49" s="6">
        <f t="shared" si="2"/>
        <v>5.8099999999999999E-2</v>
      </c>
      <c r="H49" s="7">
        <f>'PG MONTHLY DATA'!W49</f>
        <v>2.09</v>
      </c>
      <c r="I49" s="6">
        <f t="shared" si="3"/>
        <v>2.0899999999999998E-2</v>
      </c>
    </row>
    <row r="50" spans="1:9" ht="15" customHeight="1" x14ac:dyDescent="0.35">
      <c r="A50" s="3">
        <f>'PG MONTHLY DATA'!A50</f>
        <v>44135</v>
      </c>
      <c r="B50" s="13">
        <f>'PG MONTHLY DATA'!K50</f>
        <v>-1.3698100582775844E-2</v>
      </c>
      <c r="C50" s="6">
        <f>'PG MONTHLY DATA'!H50</f>
        <v>-2.0799999999999999E-2</v>
      </c>
      <c r="D50" s="7">
        <f>'PG MONTHLY DATA'!I50</f>
        <v>0.01</v>
      </c>
      <c r="E50" s="6">
        <f>'PG MONTHLY DATA'!J50</f>
        <v>1E-4</v>
      </c>
      <c r="F50" s="7">
        <f>'PG MONTHLY DATA'!V50</f>
        <v>4.34</v>
      </c>
      <c r="G50" s="6">
        <f t="shared" si="2"/>
        <v>4.3400000000000001E-2</v>
      </c>
      <c r="H50" s="7">
        <f>'PG MONTHLY DATA'!W50</f>
        <v>4.25</v>
      </c>
      <c r="I50" s="6">
        <f t="shared" si="3"/>
        <v>4.2500000000000003E-2</v>
      </c>
    </row>
    <row r="51" spans="1:9" ht="15" customHeight="1" x14ac:dyDescent="0.35">
      <c r="A51" s="3">
        <f>'PG MONTHLY DATA'!A51</f>
        <v>44104</v>
      </c>
      <c r="B51" s="13">
        <f>'PG MONTHLY DATA'!K51</f>
        <v>4.6711993060073479E-3</v>
      </c>
      <c r="C51" s="6">
        <f>'PG MONTHLY DATA'!H51</f>
        <v>-3.6400000000000002E-2</v>
      </c>
      <c r="D51" s="7">
        <f>'PG MONTHLY DATA'!I51</f>
        <v>0.01</v>
      </c>
      <c r="E51" s="6">
        <f>'PG MONTHLY DATA'!J51</f>
        <v>1E-4</v>
      </c>
      <c r="F51" s="7">
        <f>'PG MONTHLY DATA'!V51</f>
        <v>0.06</v>
      </c>
      <c r="G51" s="6">
        <f t="shared" si="2"/>
        <v>5.9999999999999995E-4</v>
      </c>
      <c r="H51" s="7">
        <f>'PG MONTHLY DATA'!W51</f>
        <v>-2.72</v>
      </c>
      <c r="I51" s="6">
        <f t="shared" si="3"/>
        <v>-2.7200000000000002E-2</v>
      </c>
    </row>
    <row r="52" spans="1:9" ht="15" customHeight="1" x14ac:dyDescent="0.35">
      <c r="A52" s="3">
        <f>'PG MONTHLY DATA'!A52</f>
        <v>44074</v>
      </c>
      <c r="B52" s="13">
        <f>'PG MONTHLY DATA'!K52</f>
        <v>5.4887797437461923E-2</v>
      </c>
      <c r="C52" s="6">
        <f>'PG MONTHLY DATA'!H52</f>
        <v>7.6200000000000004E-2</v>
      </c>
      <c r="D52" s="7">
        <f>'PG MONTHLY DATA'!I52</f>
        <v>0.01</v>
      </c>
      <c r="E52" s="6">
        <f>'PG MONTHLY DATA'!J52</f>
        <v>1E-4</v>
      </c>
      <c r="F52" s="7">
        <f>'PG MONTHLY DATA'!V52</f>
        <v>-0.2</v>
      </c>
      <c r="G52" s="6">
        <f t="shared" si="2"/>
        <v>-2E-3</v>
      </c>
      <c r="H52" s="7">
        <f>'PG MONTHLY DATA'!W52</f>
        <v>-3.02</v>
      </c>
      <c r="I52" s="6">
        <f t="shared" si="3"/>
        <v>-3.0200000000000001E-2</v>
      </c>
    </row>
    <row r="53" spans="1:9" ht="15" customHeight="1" x14ac:dyDescent="0.35">
      <c r="A53" s="3">
        <f>'PG MONTHLY DATA'!A53</f>
        <v>44043</v>
      </c>
      <c r="B53" s="13">
        <f>'PG MONTHLY DATA'!K53</f>
        <v>9.6496136154553921E-2</v>
      </c>
      <c r="C53" s="6">
        <f>'PG MONTHLY DATA'!H53</f>
        <v>5.8299999999999998E-2</v>
      </c>
      <c r="D53" s="7">
        <f>'PG MONTHLY DATA'!I53</f>
        <v>0.01</v>
      </c>
      <c r="E53" s="6">
        <f>'PG MONTHLY DATA'!J53</f>
        <v>1E-4</v>
      </c>
      <c r="F53" s="7">
        <f>'PG MONTHLY DATA'!V53</f>
        <v>-2.35</v>
      </c>
      <c r="G53" s="6">
        <f t="shared" si="2"/>
        <v>-2.35E-2</v>
      </c>
      <c r="H53" s="7">
        <f>'PG MONTHLY DATA'!W53</f>
        <v>-1.44</v>
      </c>
      <c r="I53" s="6">
        <f t="shared" si="3"/>
        <v>-1.44E-2</v>
      </c>
    </row>
    <row r="54" spans="1:9" ht="15" customHeight="1" x14ac:dyDescent="0.35">
      <c r="A54" s="3">
        <f>'PG MONTHLY DATA'!A54</f>
        <v>44012</v>
      </c>
      <c r="B54" s="13">
        <f>'PG MONTHLY DATA'!K54</f>
        <v>3.1387232574189017E-2</v>
      </c>
      <c r="C54" s="6">
        <f>'PG MONTHLY DATA'!H54</f>
        <v>2.4500000000000001E-2</v>
      </c>
      <c r="D54" s="7">
        <f>'PG MONTHLY DATA'!I54</f>
        <v>0.01</v>
      </c>
      <c r="E54" s="6">
        <f>'PG MONTHLY DATA'!J54</f>
        <v>1E-4</v>
      </c>
      <c r="F54" s="7">
        <f>'PG MONTHLY DATA'!V54</f>
        <v>2.67</v>
      </c>
      <c r="G54" s="6">
        <f t="shared" si="2"/>
        <v>2.6699999999999998E-2</v>
      </c>
      <c r="H54" s="7">
        <f>'PG MONTHLY DATA'!W54</f>
        <v>-2.17</v>
      </c>
      <c r="I54" s="6">
        <f t="shared" si="3"/>
        <v>-2.1700000000000001E-2</v>
      </c>
    </row>
    <row r="55" spans="1:9" ht="15" customHeight="1" x14ac:dyDescent="0.35">
      <c r="A55" s="3">
        <f>'PG MONTHLY DATA'!A55</f>
        <v>43982</v>
      </c>
      <c r="B55" s="13">
        <f>'PG MONTHLY DATA'!K55</f>
        <v>-1.6643649783659988E-2</v>
      </c>
      <c r="C55" s="6">
        <f>'PG MONTHLY DATA'!H55</f>
        <v>5.57E-2</v>
      </c>
      <c r="D55" s="7">
        <f>'PG MONTHLY DATA'!I55</f>
        <v>0.01</v>
      </c>
      <c r="E55" s="6">
        <f>'PG MONTHLY DATA'!J55</f>
        <v>1E-4</v>
      </c>
      <c r="F55" s="7">
        <f>'PG MONTHLY DATA'!V55</f>
        <v>2.4</v>
      </c>
      <c r="G55" s="6">
        <f t="shared" si="2"/>
        <v>2.4E-2</v>
      </c>
      <c r="H55" s="7">
        <f>'PG MONTHLY DATA'!W55</f>
        <v>-5</v>
      </c>
      <c r="I55" s="6">
        <f t="shared" si="3"/>
        <v>-0.05</v>
      </c>
    </row>
    <row r="56" spans="1:9" ht="15" customHeight="1" x14ac:dyDescent="0.35">
      <c r="A56" s="3">
        <f>'PG MONTHLY DATA'!A56</f>
        <v>43951</v>
      </c>
      <c r="B56" s="13">
        <f>'PG MONTHLY DATA'!K56</f>
        <v>7.1545454545454593E-2</v>
      </c>
      <c r="C56" s="6">
        <f>'PG MONTHLY DATA'!H56</f>
        <v>0.13600000000000001</v>
      </c>
      <c r="D56" s="7">
        <f>'PG MONTHLY DATA'!I56</f>
        <v>0</v>
      </c>
      <c r="E56" s="6">
        <f>'PG MONTHLY DATA'!J56</f>
        <v>0</v>
      </c>
      <c r="F56" s="7">
        <f>'PG MONTHLY DATA'!V56</f>
        <v>2.5</v>
      </c>
      <c r="G56" s="6">
        <f t="shared" si="2"/>
        <v>2.5000000000000001E-2</v>
      </c>
      <c r="H56" s="7">
        <f>'PG MONTHLY DATA'!W56</f>
        <v>-1.34</v>
      </c>
      <c r="I56" s="6">
        <f t="shared" si="3"/>
        <v>-1.34E-2</v>
      </c>
    </row>
    <row r="57" spans="1:9" ht="15" customHeight="1" x14ac:dyDescent="0.35">
      <c r="A57" s="3">
        <f>'PG MONTHLY DATA'!A57</f>
        <v>43921</v>
      </c>
      <c r="B57" s="13">
        <f>'PG MONTHLY DATA'!K57</f>
        <v>-2.9726009008213403E-2</v>
      </c>
      <c r="C57" s="6">
        <f>'PG MONTHLY DATA'!H57</f>
        <v>-0.13369999999999999</v>
      </c>
      <c r="D57" s="7">
        <f>'PG MONTHLY DATA'!I57</f>
        <v>0.12</v>
      </c>
      <c r="E57" s="6">
        <f>'PG MONTHLY DATA'!J57</f>
        <v>1.1999999999999999E-3</v>
      </c>
      <c r="F57" s="7">
        <f>'PG MONTHLY DATA'!V57</f>
        <v>-4.6900000000000004</v>
      </c>
      <c r="G57" s="6">
        <f t="shared" si="2"/>
        <v>-4.6900000000000004E-2</v>
      </c>
      <c r="H57" s="7">
        <f>'PG MONTHLY DATA'!W57</f>
        <v>-13.83</v>
      </c>
      <c r="I57" s="6">
        <f t="shared" si="3"/>
        <v>-0.13830000000000001</v>
      </c>
    </row>
    <row r="58" spans="1:9" ht="15" customHeight="1" x14ac:dyDescent="0.35">
      <c r="A58" s="3">
        <f>'PG MONTHLY DATA'!A58</f>
        <v>43890</v>
      </c>
      <c r="B58" s="13">
        <f>'PG MONTHLY DATA'!K58</f>
        <v>-9.25978494623656E-2</v>
      </c>
      <c r="C58" s="6">
        <f>'PG MONTHLY DATA'!H58</f>
        <v>-8.1500000000000003E-2</v>
      </c>
      <c r="D58" s="7">
        <f>'PG MONTHLY DATA'!I58</f>
        <v>0.12</v>
      </c>
      <c r="E58" s="6">
        <f>'PG MONTHLY DATA'!J58</f>
        <v>1.1999999999999999E-3</v>
      </c>
      <c r="F58" s="7">
        <f>'PG MONTHLY DATA'!V58</f>
        <v>1.08</v>
      </c>
      <c r="G58" s="6">
        <f t="shared" si="2"/>
        <v>1.0800000000000001E-2</v>
      </c>
      <c r="H58" s="7">
        <f>'PG MONTHLY DATA'!W58</f>
        <v>-3.82</v>
      </c>
      <c r="I58" s="6">
        <f t="shared" si="3"/>
        <v>-3.8199999999999998E-2</v>
      </c>
    </row>
    <row r="59" spans="1:9" ht="15" customHeight="1" x14ac:dyDescent="0.35">
      <c r="A59" s="3">
        <f>'PG MONTHLY DATA'!A59</f>
        <v>43861</v>
      </c>
      <c r="B59" s="13">
        <f>'PG MONTHLY DATA'!K59</f>
        <v>-3.5417934347478073E-3</v>
      </c>
      <c r="C59" s="6">
        <f>'PG MONTHLY DATA'!H59</f>
        <v>-1.1000000000000001E-3</v>
      </c>
      <c r="D59" s="7">
        <f>'PG MONTHLY DATA'!I59</f>
        <v>0.13</v>
      </c>
      <c r="E59" s="6">
        <f>'PG MONTHLY DATA'!J59</f>
        <v>1.2999999999999999E-3</v>
      </c>
      <c r="F59" s="7">
        <f>'PG MONTHLY DATA'!V59</f>
        <v>-3.1</v>
      </c>
      <c r="G59" s="6">
        <f t="shared" si="2"/>
        <v>-3.1E-2</v>
      </c>
      <c r="H59" s="7">
        <f>'PG MONTHLY DATA'!W59</f>
        <v>-6.22</v>
      </c>
      <c r="I59" s="6">
        <f t="shared" si="3"/>
        <v>-6.2199999999999998E-2</v>
      </c>
    </row>
    <row r="60" spans="1:9" ht="15" customHeight="1" x14ac:dyDescent="0.35">
      <c r="A60" s="3">
        <f>'PG MONTHLY DATA'!A60</f>
        <v>43830</v>
      </c>
      <c r="B60" s="13">
        <f>'PG MONTHLY DATA'!K60</f>
        <v>2.1867245616909746E-2</v>
      </c>
      <c r="C60" s="6">
        <f>'PG MONTHLY DATA'!H60</f>
        <v>2.7699999999999999E-2</v>
      </c>
      <c r="D60" s="7">
        <f>'PG MONTHLY DATA'!I60</f>
        <v>0.14000000000000001</v>
      </c>
      <c r="E60" s="6">
        <f>'PG MONTHLY DATA'!J60</f>
        <v>1.4000000000000002E-3</v>
      </c>
      <c r="F60" s="7">
        <f>'PG MONTHLY DATA'!V60</f>
        <v>0.76</v>
      </c>
      <c r="G60" s="6">
        <f t="shared" si="2"/>
        <v>7.6E-3</v>
      </c>
      <c r="H60" s="7">
        <f>'PG MONTHLY DATA'!W60</f>
        <v>1.73</v>
      </c>
      <c r="I60" s="6">
        <f t="shared" si="3"/>
        <v>1.7299999999999999E-2</v>
      </c>
    </row>
    <row r="61" spans="1:9" ht="15" customHeight="1" x14ac:dyDescent="0.35">
      <c r="A61" s="3">
        <f>'PG MONTHLY DATA'!A61</f>
        <v>43799</v>
      </c>
      <c r="B61" s="13">
        <f>'PG MONTHLY DATA'!K61</f>
        <v>-2.0877134366717554E-2</v>
      </c>
      <c r="C61" s="6">
        <f>'PG MONTHLY DATA'!H61</f>
        <v>3.8699999999999998E-2</v>
      </c>
      <c r="D61" s="7">
        <f>'PG MONTHLY DATA'!I61</f>
        <v>0.12</v>
      </c>
      <c r="E61" s="6">
        <f>'PG MONTHLY DATA'!J61</f>
        <v>1.1999999999999999E-3</v>
      </c>
      <c r="F61" s="7">
        <f>'PG MONTHLY DATA'!V61</f>
        <v>0.72</v>
      </c>
      <c r="G61" s="6">
        <f t="shared" si="2"/>
        <v>7.1999999999999998E-3</v>
      </c>
      <c r="H61" s="7">
        <f>'PG MONTHLY DATA'!W61</f>
        <v>-2</v>
      </c>
      <c r="I61" s="6">
        <f t="shared" si="3"/>
        <v>-0.02</v>
      </c>
    </row>
    <row r="62" spans="1:9" ht="15" customHeight="1" x14ac:dyDescent="0.35">
      <c r="A62" s="3">
        <f>'PG MONTHLY DATA'!A62</f>
        <v>43769</v>
      </c>
      <c r="B62" s="13">
        <f>'PG MONTHLY DATA'!K62</f>
        <v>-4.5481588679844296E-4</v>
      </c>
      <c r="C62" s="6">
        <f>'PG MONTHLY DATA'!H62</f>
        <v>2.07E-2</v>
      </c>
      <c r="D62" s="7">
        <f>'PG MONTHLY DATA'!I62</f>
        <v>0.15</v>
      </c>
      <c r="E62" s="6">
        <f>'PG MONTHLY DATA'!J62</f>
        <v>1.5E-3</v>
      </c>
      <c r="F62" s="7">
        <f>'PG MONTHLY DATA'!V62</f>
        <v>0.27</v>
      </c>
      <c r="G62" s="6">
        <f t="shared" si="2"/>
        <v>2.7000000000000001E-3</v>
      </c>
      <c r="H62" s="7">
        <f>'PG MONTHLY DATA'!W62</f>
        <v>-1.92</v>
      </c>
      <c r="I62" s="6">
        <f t="shared" si="3"/>
        <v>-1.9199999999999998E-2</v>
      </c>
    </row>
    <row r="63" spans="1:9" ht="15" customHeight="1" x14ac:dyDescent="0.35">
      <c r="A63" s="3">
        <f>'PG MONTHLY DATA'!A63</f>
        <v>43738</v>
      </c>
      <c r="B63" s="13">
        <f>'PG MONTHLY DATA'!K63</f>
        <v>3.2717175413790163E-2</v>
      </c>
      <c r="C63" s="6">
        <f>'PG MONTHLY DATA'!H63</f>
        <v>1.41E-2</v>
      </c>
      <c r="D63" s="7">
        <f>'PG MONTHLY DATA'!I63</f>
        <v>0.18</v>
      </c>
      <c r="E63" s="6">
        <f>'PG MONTHLY DATA'!J63</f>
        <v>1.8E-3</v>
      </c>
      <c r="F63" s="7">
        <f>'PG MONTHLY DATA'!V63</f>
        <v>-0.97</v>
      </c>
      <c r="G63" s="6">
        <f t="shared" si="2"/>
        <v>-9.7000000000000003E-3</v>
      </c>
      <c r="H63" s="7">
        <f>'PG MONTHLY DATA'!W63</f>
        <v>6.76</v>
      </c>
      <c r="I63" s="6">
        <f t="shared" si="3"/>
        <v>6.7599999999999993E-2</v>
      </c>
    </row>
    <row r="64" spans="1:9" ht="15" customHeight="1" x14ac:dyDescent="0.35">
      <c r="A64" s="3">
        <f>'PG MONTHLY DATA'!A64</f>
        <v>43708</v>
      </c>
      <c r="B64" s="13">
        <f>'PG MONTHLY DATA'!K64</f>
        <v>1.6953032870213467E-2</v>
      </c>
      <c r="C64" s="6">
        <f>'PG MONTHLY DATA'!H64</f>
        <v>-2.5499999999999998E-2</v>
      </c>
      <c r="D64" s="7">
        <f>'PG MONTHLY DATA'!I64</f>
        <v>0.16</v>
      </c>
      <c r="E64" s="6">
        <f>'PG MONTHLY DATA'!J64</f>
        <v>1.6000000000000001E-3</v>
      </c>
      <c r="F64" s="7">
        <f>'PG MONTHLY DATA'!V64</f>
        <v>-2.39</v>
      </c>
      <c r="G64" s="6">
        <f t="shared" si="2"/>
        <v>-2.3900000000000001E-2</v>
      </c>
      <c r="H64" s="7">
        <f>'PG MONTHLY DATA'!W64</f>
        <v>-4.7699999999999996</v>
      </c>
      <c r="I64" s="6">
        <f t="shared" si="3"/>
        <v>-4.7699999999999992E-2</v>
      </c>
    </row>
    <row r="65" spans="1:9" ht="15" customHeight="1" x14ac:dyDescent="0.35">
      <c r="A65" s="3">
        <f>'PG MONTHLY DATA'!A65</f>
        <v>43677</v>
      </c>
      <c r="B65" s="13">
        <f>'PG MONTHLY DATA'!K65</f>
        <v>7.4616187870497036E-2</v>
      </c>
      <c r="C65" s="6">
        <f>'PG MONTHLY DATA'!H65</f>
        <v>1.23E-2</v>
      </c>
      <c r="D65" s="7">
        <f>'PG MONTHLY DATA'!I65</f>
        <v>0.19</v>
      </c>
      <c r="E65" s="6">
        <f>'PG MONTHLY DATA'!J65</f>
        <v>1.9E-3</v>
      </c>
      <c r="F65" s="7">
        <f>'PG MONTHLY DATA'!V65</f>
        <v>-1.96</v>
      </c>
      <c r="G65" s="6">
        <f t="shared" si="2"/>
        <v>-1.9599999999999999E-2</v>
      </c>
      <c r="H65" s="7">
        <f>'PG MONTHLY DATA'!W65</f>
        <v>0.5</v>
      </c>
      <c r="I65" s="6">
        <f t="shared" si="3"/>
        <v>5.0000000000000001E-3</v>
      </c>
    </row>
    <row r="66" spans="1:9" ht="15" customHeight="1" x14ac:dyDescent="0.35">
      <c r="A66" s="3">
        <f>'PG MONTHLY DATA'!A66</f>
        <v>43646</v>
      </c>
      <c r="B66" s="13">
        <f>'PG MONTHLY DATA'!K66</f>
        <v>6.3694121076669025E-2</v>
      </c>
      <c r="C66" s="6">
        <f>'PG MONTHLY DATA'!H66</f>
        <v>6.9900000000000004E-2</v>
      </c>
      <c r="D66" s="7">
        <f>'PG MONTHLY DATA'!I66</f>
        <v>0.18</v>
      </c>
      <c r="E66" s="6">
        <f>'PG MONTHLY DATA'!J66</f>
        <v>1.8E-3</v>
      </c>
      <c r="F66" s="7">
        <f>'PG MONTHLY DATA'!V66</f>
        <v>0.11</v>
      </c>
      <c r="G66" s="6">
        <f t="shared" ref="G66:G97" si="4">F66/100</f>
        <v>1.1000000000000001E-3</v>
      </c>
      <c r="H66" s="7">
        <f>'PG MONTHLY DATA'!W66</f>
        <v>-0.64</v>
      </c>
      <c r="I66" s="6">
        <f t="shared" ref="I66:I97" si="5">H66/100</f>
        <v>-6.4000000000000003E-3</v>
      </c>
    </row>
    <row r="67" spans="1:9" ht="15" customHeight="1" x14ac:dyDescent="0.35">
      <c r="A67" s="3">
        <f>'PG MONTHLY DATA'!A67</f>
        <v>43616</v>
      </c>
      <c r="B67" s="13">
        <f>'PG MONTHLY DATA'!K67</f>
        <v>-3.5627422990232971E-2</v>
      </c>
      <c r="C67" s="6">
        <f>'PG MONTHLY DATA'!H67</f>
        <v>-6.9199999999999998E-2</v>
      </c>
      <c r="D67" s="7">
        <f>'PG MONTHLY DATA'!I67</f>
        <v>0.21</v>
      </c>
      <c r="E67" s="6">
        <f>'PG MONTHLY DATA'!J67</f>
        <v>2.0999999999999999E-3</v>
      </c>
      <c r="F67" s="7">
        <f>'PG MONTHLY DATA'!V67</f>
        <v>-1.26</v>
      </c>
      <c r="G67" s="6">
        <f t="shared" si="4"/>
        <v>-1.26E-2</v>
      </c>
      <c r="H67" s="7">
        <f>'PG MONTHLY DATA'!W67</f>
        <v>-2.4500000000000002</v>
      </c>
      <c r="I67" s="6">
        <f t="shared" si="5"/>
        <v>-2.4500000000000001E-2</v>
      </c>
    </row>
    <row r="68" spans="1:9" ht="15" customHeight="1" x14ac:dyDescent="0.35">
      <c r="A68" s="3">
        <f>'PG MONTHLY DATA'!A68</f>
        <v>43585</v>
      </c>
      <c r="B68" s="13">
        <f>'PG MONTHLY DATA'!K68</f>
        <v>2.1254156655454173E-2</v>
      </c>
      <c r="C68" s="6">
        <f>'PG MONTHLY DATA'!H68</f>
        <v>3.9699999999999999E-2</v>
      </c>
      <c r="D68" s="7">
        <f>'PG MONTHLY DATA'!I68</f>
        <v>0.21</v>
      </c>
      <c r="E68" s="6">
        <f>'PG MONTHLY DATA'!J68</f>
        <v>2.0999999999999999E-3</v>
      </c>
      <c r="F68" s="7">
        <f>'PG MONTHLY DATA'!V68</f>
        <v>-1.74</v>
      </c>
      <c r="G68" s="6">
        <f t="shared" si="4"/>
        <v>-1.7399999999999999E-2</v>
      </c>
      <c r="H68" s="7">
        <f>'PG MONTHLY DATA'!W68</f>
        <v>2.13</v>
      </c>
      <c r="I68" s="6">
        <f t="shared" si="5"/>
        <v>2.1299999999999999E-2</v>
      </c>
    </row>
    <row r="69" spans="1:9" ht="15" customHeight="1" x14ac:dyDescent="0.35">
      <c r="A69" s="3">
        <f>'PG MONTHLY DATA'!A69</f>
        <v>43555</v>
      </c>
      <c r="B69" s="13">
        <f>'PG MONTHLY DATA'!K69</f>
        <v>5.3909233891425677E-2</v>
      </c>
      <c r="C69" s="6">
        <f>'PG MONTHLY DATA'!H69</f>
        <v>1.1000000000000001E-2</v>
      </c>
      <c r="D69" s="7">
        <f>'PG MONTHLY DATA'!I69</f>
        <v>0.19</v>
      </c>
      <c r="E69" s="6">
        <f>'PG MONTHLY DATA'!J69</f>
        <v>1.9E-3</v>
      </c>
      <c r="F69" s="7">
        <f>'PG MONTHLY DATA'!V69</f>
        <v>-3.03</v>
      </c>
      <c r="G69" s="6">
        <f t="shared" si="4"/>
        <v>-3.0299999999999997E-2</v>
      </c>
      <c r="H69" s="7">
        <f>'PG MONTHLY DATA'!W69</f>
        <v>-4.1399999999999997</v>
      </c>
      <c r="I69" s="6">
        <f t="shared" si="5"/>
        <v>-4.1399999999999999E-2</v>
      </c>
    </row>
    <row r="70" spans="1:9" ht="15" customHeight="1" x14ac:dyDescent="0.35">
      <c r="A70" s="3">
        <f>'PG MONTHLY DATA'!A70</f>
        <v>43524</v>
      </c>
      <c r="B70" s="13">
        <f>'PG MONTHLY DATA'!K70</f>
        <v>1.9761107079921202E-2</v>
      </c>
      <c r="C70" s="6">
        <f>'PG MONTHLY DATA'!H70</f>
        <v>3.4200000000000001E-2</v>
      </c>
      <c r="D70" s="7">
        <f>'PG MONTHLY DATA'!I70</f>
        <v>0.18</v>
      </c>
      <c r="E70" s="6">
        <f>'PG MONTHLY DATA'!J70</f>
        <v>1.8E-3</v>
      </c>
      <c r="F70" s="7">
        <f>'PG MONTHLY DATA'!V70</f>
        <v>2.0499999999999998</v>
      </c>
      <c r="G70" s="6">
        <f t="shared" si="4"/>
        <v>2.0499999999999997E-2</v>
      </c>
      <c r="H70" s="7">
        <f>'PG MONTHLY DATA'!W70</f>
        <v>-2.66</v>
      </c>
      <c r="I70" s="6">
        <f t="shared" si="5"/>
        <v>-2.6600000000000002E-2</v>
      </c>
    </row>
    <row r="71" spans="1:9" ht="15" customHeight="1" x14ac:dyDescent="0.35">
      <c r="A71" s="3">
        <f>'PG MONTHLY DATA'!A71</f>
        <v>43496</v>
      </c>
      <c r="B71" s="13">
        <f>'PG MONTHLY DATA'!K71</f>
        <v>4.7399564838990396E-2</v>
      </c>
      <c r="C71" s="6">
        <f>'PG MONTHLY DATA'!H71</f>
        <v>8.3699999999999997E-2</v>
      </c>
      <c r="D71" s="7">
        <f>'PG MONTHLY DATA'!I71</f>
        <v>0.21</v>
      </c>
      <c r="E71" s="6">
        <f>'PG MONTHLY DATA'!J71</f>
        <v>2.0999999999999999E-3</v>
      </c>
      <c r="F71" s="7">
        <f>'PG MONTHLY DATA'!V71</f>
        <v>2.76</v>
      </c>
      <c r="G71" s="6">
        <f t="shared" si="4"/>
        <v>2.76E-2</v>
      </c>
      <c r="H71" s="7">
        <f>'PG MONTHLY DATA'!W71</f>
        <v>-0.39</v>
      </c>
      <c r="I71" s="6">
        <f t="shared" si="5"/>
        <v>-3.9000000000000003E-3</v>
      </c>
    </row>
    <row r="72" spans="1:9" ht="15" customHeight="1" x14ac:dyDescent="0.35">
      <c r="A72" s="3">
        <f>'PG MONTHLY DATA'!A72</f>
        <v>43465</v>
      </c>
      <c r="B72" s="13">
        <f>'PG MONTHLY DATA'!K72</f>
        <v>-2.9304507459528124E-2</v>
      </c>
      <c r="C72" s="6">
        <f>'PG MONTHLY DATA'!H72</f>
        <v>-9.5500000000000002E-2</v>
      </c>
      <c r="D72" s="7">
        <f>'PG MONTHLY DATA'!I72</f>
        <v>0.19</v>
      </c>
      <c r="E72" s="6">
        <f>'PG MONTHLY DATA'!J72</f>
        <v>1.9E-3</v>
      </c>
      <c r="F72" s="7">
        <f>'PG MONTHLY DATA'!V72</f>
        <v>-2.31</v>
      </c>
      <c r="G72" s="6">
        <f t="shared" si="4"/>
        <v>-2.3099999999999999E-2</v>
      </c>
      <c r="H72" s="7">
        <f>'PG MONTHLY DATA'!W72</f>
        <v>-1.92</v>
      </c>
      <c r="I72" s="6">
        <f t="shared" si="5"/>
        <v>-1.9199999999999998E-2</v>
      </c>
    </row>
    <row r="73" spans="1:9" ht="15" customHeight="1" x14ac:dyDescent="0.35">
      <c r="A73" s="3">
        <f>'PG MONTHLY DATA'!A73</f>
        <v>43434</v>
      </c>
      <c r="B73" s="13">
        <f>'PG MONTHLY DATA'!K73</f>
        <v>6.3941993685160112E-2</v>
      </c>
      <c r="C73" s="6">
        <f>'PG MONTHLY DATA'!H73</f>
        <v>1.7100000000000001E-2</v>
      </c>
      <c r="D73" s="7">
        <f>'PG MONTHLY DATA'!I73</f>
        <v>0.18</v>
      </c>
      <c r="E73" s="6">
        <f>'PG MONTHLY DATA'!J73</f>
        <v>1.8E-3</v>
      </c>
      <c r="F73" s="7">
        <f>'PG MONTHLY DATA'!V73</f>
        <v>-0.73</v>
      </c>
      <c r="G73" s="6">
        <f t="shared" si="4"/>
        <v>-7.3000000000000001E-3</v>
      </c>
      <c r="H73" s="7">
        <f>'PG MONTHLY DATA'!W73</f>
        <v>0.36</v>
      </c>
      <c r="I73" s="6">
        <f t="shared" si="5"/>
        <v>3.5999999999999999E-3</v>
      </c>
    </row>
    <row r="74" spans="1:9" ht="15" customHeight="1" x14ac:dyDescent="0.35">
      <c r="A74" s="3">
        <f>'PG MONTHLY DATA'!A74</f>
        <v>43404</v>
      </c>
      <c r="B74" s="13">
        <f>'PG MONTHLY DATA'!K74</f>
        <v>6.358119668388805E-2</v>
      </c>
      <c r="C74" s="6">
        <f>'PG MONTHLY DATA'!H74</f>
        <v>-7.6499999999999999E-2</v>
      </c>
      <c r="D74" s="7">
        <f>'PG MONTHLY DATA'!I74</f>
        <v>0.19</v>
      </c>
      <c r="E74" s="6">
        <f>'PG MONTHLY DATA'!J74</f>
        <v>1.9E-3</v>
      </c>
      <c r="F74" s="7">
        <f>'PG MONTHLY DATA'!V74</f>
        <v>-4.7</v>
      </c>
      <c r="G74" s="6">
        <f t="shared" si="4"/>
        <v>-4.7E-2</v>
      </c>
      <c r="H74" s="7">
        <f>'PG MONTHLY DATA'!W74</f>
        <v>3.38</v>
      </c>
      <c r="I74" s="6">
        <f t="shared" si="5"/>
        <v>3.3799999999999997E-2</v>
      </c>
    </row>
    <row r="75" spans="1:9" ht="15" customHeight="1" x14ac:dyDescent="0.35">
      <c r="A75" s="3">
        <f>'PG MONTHLY DATA'!A75</f>
        <v>43373</v>
      </c>
      <c r="B75" s="13">
        <f>'PG MONTHLY DATA'!K75</f>
        <v>1.875527426160351E-3</v>
      </c>
      <c r="C75" s="6">
        <f>'PG MONTHLY DATA'!H75</f>
        <v>5.9999999999999995E-4</v>
      </c>
      <c r="D75" s="7">
        <f>'PG MONTHLY DATA'!I75</f>
        <v>0.15</v>
      </c>
      <c r="E75" s="6">
        <f>'PG MONTHLY DATA'!J75</f>
        <v>1.5E-3</v>
      </c>
      <c r="F75" s="7">
        <f>'PG MONTHLY DATA'!V75</f>
        <v>-2.29</v>
      </c>
      <c r="G75" s="6">
        <f t="shared" si="4"/>
        <v>-2.29E-2</v>
      </c>
      <c r="H75" s="7">
        <f>'PG MONTHLY DATA'!W75</f>
        <v>-1.62</v>
      </c>
      <c r="I75" s="6">
        <f t="shared" si="5"/>
        <v>-1.6200000000000003E-2</v>
      </c>
    </row>
    <row r="76" spans="1:9" ht="15" customHeight="1" x14ac:dyDescent="0.35">
      <c r="A76" s="3">
        <f>'PG MONTHLY DATA'!A76</f>
        <v>43343</v>
      </c>
      <c r="B76" s="13">
        <f>'PG MONTHLY DATA'!K76</f>
        <v>2.3993471810089113E-2</v>
      </c>
      <c r="C76" s="6">
        <f>'PG MONTHLY DATA'!H76</f>
        <v>3.4500000000000003E-2</v>
      </c>
      <c r="D76" s="7">
        <f>'PG MONTHLY DATA'!I76</f>
        <v>0.16</v>
      </c>
      <c r="E76" s="6">
        <f>'PG MONTHLY DATA'!J76</f>
        <v>1.6000000000000001E-3</v>
      </c>
      <c r="F76" s="7">
        <f>'PG MONTHLY DATA'!V76</f>
        <v>1.1399999999999999</v>
      </c>
      <c r="G76" s="6">
        <f t="shared" si="4"/>
        <v>1.1399999999999999E-2</v>
      </c>
      <c r="H76" s="7">
        <f>'PG MONTHLY DATA'!W76</f>
        <v>-3.91</v>
      </c>
      <c r="I76" s="6">
        <f t="shared" si="5"/>
        <v>-3.9100000000000003E-2</v>
      </c>
    </row>
    <row r="77" spans="1:9" ht="15" customHeight="1" x14ac:dyDescent="0.35">
      <c r="A77" s="3">
        <f>'PG MONTHLY DATA'!A77</f>
        <v>43312</v>
      </c>
      <c r="B77" s="13">
        <f>'PG MONTHLY DATA'!K77</f>
        <v>3.4526056879323509E-2</v>
      </c>
      <c r="C77" s="6">
        <f>'PG MONTHLY DATA'!H77</f>
        <v>3.2000000000000001E-2</v>
      </c>
      <c r="D77" s="7">
        <f>'PG MONTHLY DATA'!I77</f>
        <v>0.16</v>
      </c>
      <c r="E77" s="6">
        <f>'PG MONTHLY DATA'!J77</f>
        <v>1.6000000000000001E-3</v>
      </c>
      <c r="F77" s="7">
        <f>'PG MONTHLY DATA'!V77</f>
        <v>-2.23</v>
      </c>
      <c r="G77" s="6">
        <f t="shared" si="4"/>
        <v>-2.23E-2</v>
      </c>
      <c r="H77" s="7">
        <f>'PG MONTHLY DATA'!W77</f>
        <v>0.49</v>
      </c>
      <c r="I77" s="6">
        <f t="shared" si="5"/>
        <v>4.8999999999999998E-3</v>
      </c>
    </row>
    <row r="78" spans="1:9" ht="15" customHeight="1" x14ac:dyDescent="0.35">
      <c r="A78" s="3">
        <f>'PG MONTHLY DATA'!A78</f>
        <v>43281</v>
      </c>
      <c r="B78" s="13">
        <f>'PG MONTHLY DATA'!K78</f>
        <v>6.5430668306683079E-2</v>
      </c>
      <c r="C78" s="6">
        <f>'PG MONTHLY DATA'!H78</f>
        <v>4.8999999999999998E-3</v>
      </c>
      <c r="D78" s="7">
        <f>'PG MONTHLY DATA'!I78</f>
        <v>0.14000000000000001</v>
      </c>
      <c r="E78" s="6">
        <f>'PG MONTHLY DATA'!J78</f>
        <v>1.4000000000000002E-3</v>
      </c>
      <c r="F78" s="7">
        <f>'PG MONTHLY DATA'!V78</f>
        <v>1.1100000000000001</v>
      </c>
      <c r="G78" s="6">
        <f t="shared" si="4"/>
        <v>1.11E-2</v>
      </c>
      <c r="H78" s="7">
        <f>'PG MONTHLY DATA'!W78</f>
        <v>-2.33</v>
      </c>
      <c r="I78" s="6">
        <f t="shared" si="5"/>
        <v>-2.3300000000000001E-2</v>
      </c>
    </row>
    <row r="79" spans="1:9" ht="15" customHeight="1" x14ac:dyDescent="0.35">
      <c r="A79" s="3">
        <f>'PG MONTHLY DATA'!A79</f>
        <v>43251</v>
      </c>
      <c r="B79" s="13">
        <f>'PG MONTHLY DATA'!K79</f>
        <v>1.0073596903511173E-2</v>
      </c>
      <c r="C79" s="6">
        <f>'PG MONTHLY DATA'!H79</f>
        <v>2.6600000000000002E-2</v>
      </c>
      <c r="D79" s="7">
        <f>'PG MONTHLY DATA'!I79</f>
        <v>0.14000000000000001</v>
      </c>
      <c r="E79" s="6">
        <f>'PG MONTHLY DATA'!J79</f>
        <v>1.4000000000000002E-3</v>
      </c>
      <c r="F79" s="7">
        <f>'PG MONTHLY DATA'!V79</f>
        <v>5.24</v>
      </c>
      <c r="G79" s="6">
        <f t="shared" si="4"/>
        <v>5.2400000000000002E-2</v>
      </c>
      <c r="H79" s="7">
        <f>'PG MONTHLY DATA'!W79</f>
        <v>-3.14</v>
      </c>
      <c r="I79" s="6">
        <f t="shared" si="5"/>
        <v>-3.1400000000000004E-2</v>
      </c>
    </row>
    <row r="80" spans="1:9" ht="15" customHeight="1" x14ac:dyDescent="0.35">
      <c r="A80" s="3">
        <f>'PG MONTHLY DATA'!A80</f>
        <v>43220</v>
      </c>
      <c r="B80" s="13">
        <f>'PG MONTHLY DATA'!K80</f>
        <v>-8.8937840565085746E-2</v>
      </c>
      <c r="C80" s="6">
        <f>'PG MONTHLY DATA'!H80</f>
        <v>2.7000000000000001E-3</v>
      </c>
      <c r="D80" s="7">
        <f>'PG MONTHLY DATA'!I80</f>
        <v>0.14000000000000001</v>
      </c>
      <c r="E80" s="6">
        <f>'PG MONTHLY DATA'!J80</f>
        <v>1.4000000000000002E-3</v>
      </c>
      <c r="F80" s="7">
        <f>'PG MONTHLY DATA'!V80</f>
        <v>1.0900000000000001</v>
      </c>
      <c r="G80" s="6">
        <f t="shared" si="4"/>
        <v>1.09E-2</v>
      </c>
      <c r="H80" s="7">
        <f>'PG MONTHLY DATA'!W80</f>
        <v>0.53</v>
      </c>
      <c r="I80" s="6">
        <f t="shared" si="5"/>
        <v>5.3E-3</v>
      </c>
    </row>
    <row r="81" spans="1:9" ht="15" customHeight="1" x14ac:dyDescent="0.35">
      <c r="A81" s="3">
        <f>'PG MONTHLY DATA'!A81</f>
        <v>43190</v>
      </c>
      <c r="B81" s="13">
        <f>'PG MONTHLY DATA'!K81</f>
        <v>8.4790626591951749E-3</v>
      </c>
      <c r="C81" s="6">
        <f>'PG MONTHLY DATA'!H81</f>
        <v>-2.35E-2</v>
      </c>
      <c r="D81" s="7">
        <f>'PG MONTHLY DATA'!I81</f>
        <v>0.12</v>
      </c>
      <c r="E81" s="6">
        <f>'PG MONTHLY DATA'!J81</f>
        <v>1.1999999999999999E-3</v>
      </c>
      <c r="F81" s="7">
        <f>'PG MONTHLY DATA'!V81</f>
        <v>4.05</v>
      </c>
      <c r="G81" s="6">
        <f t="shared" si="4"/>
        <v>4.0500000000000001E-2</v>
      </c>
      <c r="H81" s="7">
        <f>'PG MONTHLY DATA'!W81</f>
        <v>-0.21</v>
      </c>
      <c r="I81" s="6">
        <f t="shared" si="5"/>
        <v>-2.0999999999999999E-3</v>
      </c>
    </row>
    <row r="82" spans="1:9" ht="15" customHeight="1" x14ac:dyDescent="0.35">
      <c r="A82" s="3">
        <f>'PG MONTHLY DATA'!A82</f>
        <v>43159</v>
      </c>
      <c r="B82" s="13">
        <f>'PG MONTHLY DATA'!K82</f>
        <v>-9.1672156590224776E-2</v>
      </c>
      <c r="C82" s="6">
        <f>'PG MONTHLY DATA'!H82</f>
        <v>-3.6400000000000002E-2</v>
      </c>
      <c r="D82" s="7">
        <f>'PG MONTHLY DATA'!I82</f>
        <v>0.11</v>
      </c>
      <c r="E82" s="6">
        <f>'PG MONTHLY DATA'!J82</f>
        <v>1.1000000000000001E-3</v>
      </c>
      <c r="F82" s="7">
        <f>'PG MONTHLY DATA'!V82</f>
        <v>0.27</v>
      </c>
      <c r="G82" s="6">
        <f t="shared" si="4"/>
        <v>2.7000000000000001E-3</v>
      </c>
      <c r="H82" s="7">
        <f>'PG MONTHLY DATA'!W82</f>
        <v>-1.1000000000000001</v>
      </c>
      <c r="I82" s="6">
        <f t="shared" si="5"/>
        <v>-1.1000000000000001E-2</v>
      </c>
    </row>
    <row r="83" spans="1:9" ht="15" customHeight="1" x14ac:dyDescent="0.35">
      <c r="A83" s="3">
        <f>'PG MONTHLY DATA'!A83</f>
        <v>43131</v>
      </c>
      <c r="B83" s="13">
        <f>'PG MONTHLY DATA'!K83</f>
        <v>-6.1396038310840138E-2</v>
      </c>
      <c r="C83" s="6">
        <f>'PG MONTHLY DATA'!H83</f>
        <v>5.5800000000000002E-2</v>
      </c>
      <c r="D83" s="7">
        <f>'PG MONTHLY DATA'!I83</f>
        <v>0.11</v>
      </c>
      <c r="E83" s="6">
        <f>'PG MONTHLY DATA'!J83</f>
        <v>1.1000000000000001E-3</v>
      </c>
      <c r="F83" s="7">
        <f>'PG MONTHLY DATA'!V83</f>
        <v>-3.16</v>
      </c>
      <c r="G83" s="6">
        <f t="shared" si="4"/>
        <v>-3.1600000000000003E-2</v>
      </c>
      <c r="H83" s="7">
        <f>'PG MONTHLY DATA'!W83</f>
        <v>-1.32</v>
      </c>
      <c r="I83" s="6">
        <f t="shared" si="5"/>
        <v>-1.32E-2</v>
      </c>
    </row>
    <row r="84" spans="1:9" ht="15" customHeight="1" x14ac:dyDescent="0.35">
      <c r="A84" s="3">
        <f>'PG MONTHLY DATA'!A84</f>
        <v>43100</v>
      </c>
      <c r="B84" s="13">
        <f>'PG MONTHLY DATA'!K84</f>
        <v>2.0102333592621407E-2</v>
      </c>
      <c r="C84" s="6">
        <f>'PG MONTHLY DATA'!H84</f>
        <v>1.06E-2</v>
      </c>
      <c r="D84" s="7">
        <f>'PG MONTHLY DATA'!I84</f>
        <v>0.09</v>
      </c>
      <c r="E84" s="6">
        <f>'PG MONTHLY DATA'!J84</f>
        <v>8.9999999999999998E-4</v>
      </c>
      <c r="F84" s="7">
        <f>'PG MONTHLY DATA'!V84</f>
        <v>-1.32</v>
      </c>
      <c r="G84" s="6">
        <f t="shared" si="4"/>
        <v>-1.32E-2</v>
      </c>
      <c r="H84" s="7">
        <f>'PG MONTHLY DATA'!W84</f>
        <v>0.05</v>
      </c>
      <c r="I84" s="6">
        <f t="shared" si="5"/>
        <v>5.0000000000000001E-4</v>
      </c>
    </row>
    <row r="85" spans="1:9" ht="15" customHeight="1" x14ac:dyDescent="0.35">
      <c r="A85" s="3">
        <f>'PG MONTHLY DATA'!A85</f>
        <v>43069</v>
      </c>
      <c r="B85" s="13">
        <f>'PG MONTHLY DATA'!K85</f>
        <v>4.1474727820245437E-2</v>
      </c>
      <c r="C85" s="6">
        <f>'PG MONTHLY DATA'!H85</f>
        <v>3.1200000000000002E-2</v>
      </c>
      <c r="D85" s="7">
        <f>'PG MONTHLY DATA'!I85</f>
        <v>0.08</v>
      </c>
      <c r="E85" s="6">
        <f>'PG MONTHLY DATA'!J85</f>
        <v>8.0000000000000004E-4</v>
      </c>
      <c r="F85" s="7">
        <f>'PG MONTHLY DATA'!V85</f>
        <v>-0.6</v>
      </c>
      <c r="G85" s="6">
        <f t="shared" si="4"/>
        <v>-6.0000000000000001E-3</v>
      </c>
      <c r="H85" s="7">
        <f>'PG MONTHLY DATA'!W85</f>
        <v>-0.09</v>
      </c>
      <c r="I85" s="6">
        <f t="shared" si="5"/>
        <v>-8.9999999999999998E-4</v>
      </c>
    </row>
    <row r="86" spans="1:9" ht="15" customHeight="1" x14ac:dyDescent="0.35">
      <c r="A86" s="3">
        <f>'PG MONTHLY DATA'!A86</f>
        <v>43039</v>
      </c>
      <c r="B86" s="13">
        <f>'PG MONTHLY DATA'!K86</f>
        <v>-5.1900219828533746E-2</v>
      </c>
      <c r="C86" s="6">
        <f>'PG MONTHLY DATA'!H86</f>
        <v>2.2599999999999999E-2</v>
      </c>
      <c r="D86" s="7">
        <f>'PG MONTHLY DATA'!I86</f>
        <v>0.09</v>
      </c>
      <c r="E86" s="6">
        <f>'PG MONTHLY DATA'!J86</f>
        <v>8.9999999999999998E-4</v>
      </c>
      <c r="F86" s="7">
        <f>'PG MONTHLY DATA'!V86</f>
        <v>-1.93</v>
      </c>
      <c r="G86" s="6">
        <f t="shared" si="4"/>
        <v>-1.9299999999999998E-2</v>
      </c>
      <c r="H86" s="7">
        <f>'PG MONTHLY DATA'!W86</f>
        <v>0.13</v>
      </c>
      <c r="I86" s="6">
        <f t="shared" si="5"/>
        <v>1.2999999999999999E-3</v>
      </c>
    </row>
    <row r="87" spans="1:9" ht="15" customHeight="1" x14ac:dyDescent="0.35">
      <c r="A87" s="3">
        <f>'PG MONTHLY DATA'!A87</f>
        <v>43008</v>
      </c>
      <c r="B87" s="13">
        <f>'PG MONTHLY DATA'!K87</f>
        <v>-1.4880708789422261E-2</v>
      </c>
      <c r="C87" s="6">
        <f>'PG MONTHLY DATA'!H87</f>
        <v>2.4900000000000002E-2</v>
      </c>
      <c r="D87" s="7">
        <f>'PG MONTHLY DATA'!I87</f>
        <v>0.09</v>
      </c>
      <c r="E87" s="6">
        <f>'PG MONTHLY DATA'!J87</f>
        <v>8.9999999999999998E-4</v>
      </c>
      <c r="F87" s="7">
        <f>'PG MONTHLY DATA'!V87</f>
        <v>4.45</v>
      </c>
      <c r="G87" s="6">
        <f t="shared" si="4"/>
        <v>4.4500000000000005E-2</v>
      </c>
      <c r="H87" s="7">
        <f>'PG MONTHLY DATA'!W87</f>
        <v>3.15</v>
      </c>
      <c r="I87" s="6">
        <f t="shared" si="5"/>
        <v>3.15E-2</v>
      </c>
    </row>
    <row r="88" spans="1:9" ht="15" customHeight="1" x14ac:dyDescent="0.35">
      <c r="A88" s="3">
        <f>'PG MONTHLY DATA'!A88</f>
        <v>42978</v>
      </c>
      <c r="B88" s="13">
        <f>'PG MONTHLY DATA'!K88</f>
        <v>1.5065646333406771E-2</v>
      </c>
      <c r="C88" s="6">
        <f>'PG MONTHLY DATA'!H88</f>
        <v>1.8E-3</v>
      </c>
      <c r="D88" s="7">
        <f>'PG MONTHLY DATA'!I88</f>
        <v>0.09</v>
      </c>
      <c r="E88" s="6">
        <f>'PG MONTHLY DATA'!J88</f>
        <v>8.9999999999999998E-4</v>
      </c>
      <c r="F88" s="7">
        <f>'PG MONTHLY DATA'!V88</f>
        <v>-1.67</v>
      </c>
      <c r="G88" s="6">
        <f t="shared" si="4"/>
        <v>-1.67E-2</v>
      </c>
      <c r="H88" s="7">
        <f>'PG MONTHLY DATA'!W88</f>
        <v>-2.13</v>
      </c>
      <c r="I88" s="6">
        <f t="shared" si="5"/>
        <v>-2.1299999999999999E-2</v>
      </c>
    </row>
    <row r="89" spans="1:9" ht="15" customHeight="1" x14ac:dyDescent="0.35">
      <c r="A89" s="3">
        <f>'PG MONTHLY DATA'!A89</f>
        <v>42947</v>
      </c>
      <c r="B89" s="13">
        <f>'PG MONTHLY DATA'!K89</f>
        <v>4.1411302352266061E-2</v>
      </c>
      <c r="C89" s="6">
        <f>'PG MONTHLY DATA'!H89</f>
        <v>1.8799999999999997E-2</v>
      </c>
      <c r="D89" s="7">
        <f>'PG MONTHLY DATA'!I89</f>
        <v>7.0000000000000007E-2</v>
      </c>
      <c r="E89" s="6">
        <f>'PG MONTHLY DATA'!J89</f>
        <v>7.000000000000001E-4</v>
      </c>
      <c r="F89" s="7">
        <f>'PG MONTHLY DATA'!V89</f>
        <v>-1.45</v>
      </c>
      <c r="G89" s="6">
        <f t="shared" si="4"/>
        <v>-1.4499999999999999E-2</v>
      </c>
      <c r="H89" s="7">
        <f>'PG MONTHLY DATA'!W89</f>
        <v>-0.23</v>
      </c>
      <c r="I89" s="6">
        <f t="shared" si="5"/>
        <v>-2.3E-3</v>
      </c>
    </row>
    <row r="90" spans="1:9" ht="15" customHeight="1" x14ac:dyDescent="0.35">
      <c r="A90" s="3">
        <f>'PG MONTHLY DATA'!A90</f>
        <v>42916</v>
      </c>
      <c r="B90" s="13">
        <f>'PG MONTHLY DATA'!K90</f>
        <v>-1.1270904756499009E-2</v>
      </c>
      <c r="C90" s="6">
        <f>'PG MONTHLY DATA'!H90</f>
        <v>7.9000000000000008E-3</v>
      </c>
      <c r="D90" s="7">
        <f>'PG MONTHLY DATA'!I90</f>
        <v>0.06</v>
      </c>
      <c r="E90" s="6">
        <f>'PG MONTHLY DATA'!J90</f>
        <v>5.9999999999999995E-4</v>
      </c>
      <c r="F90" s="7">
        <f>'PG MONTHLY DATA'!V90</f>
        <v>2.21</v>
      </c>
      <c r="G90" s="6">
        <f t="shared" si="4"/>
        <v>2.2099999999999998E-2</v>
      </c>
      <c r="H90" s="7">
        <f>'PG MONTHLY DATA'!W90</f>
        <v>1.5</v>
      </c>
      <c r="I90" s="6">
        <f t="shared" si="5"/>
        <v>1.4999999999999999E-2</v>
      </c>
    </row>
    <row r="91" spans="1:9" ht="15" customHeight="1" x14ac:dyDescent="0.35">
      <c r="A91" s="3">
        <f>'PG MONTHLY DATA'!A91</f>
        <v>42886</v>
      </c>
      <c r="B91" s="13">
        <f>'PG MONTHLY DATA'!K91</f>
        <v>8.1026222374900401E-3</v>
      </c>
      <c r="C91" s="6">
        <f>'PG MONTHLY DATA'!H91</f>
        <v>1.0700000000000001E-2</v>
      </c>
      <c r="D91" s="7">
        <f>'PG MONTHLY DATA'!I91</f>
        <v>0.06</v>
      </c>
      <c r="E91" s="6">
        <f>'PG MONTHLY DATA'!J91</f>
        <v>5.9999999999999995E-4</v>
      </c>
      <c r="F91" s="7">
        <f>'PG MONTHLY DATA'!V91</f>
        <v>-2.52</v>
      </c>
      <c r="G91" s="6">
        <f t="shared" si="4"/>
        <v>-2.52E-2</v>
      </c>
      <c r="H91" s="7">
        <f>'PG MONTHLY DATA'!W91</f>
        <v>-3.82</v>
      </c>
      <c r="I91" s="6">
        <f t="shared" si="5"/>
        <v>-3.8199999999999998E-2</v>
      </c>
    </row>
    <row r="92" spans="1:9" ht="15" customHeight="1" x14ac:dyDescent="0.35">
      <c r="A92" s="3">
        <f>'PG MONTHLY DATA'!A92</f>
        <v>42855</v>
      </c>
      <c r="B92" s="13">
        <f>'PG MONTHLY DATA'!K92</f>
        <v>-2.854674457429044E-2</v>
      </c>
      <c r="C92" s="6">
        <f>'PG MONTHLY DATA'!H92</f>
        <v>1.0800000000000001E-2</v>
      </c>
      <c r="D92" s="7">
        <f>'PG MONTHLY DATA'!I92</f>
        <v>0.05</v>
      </c>
      <c r="E92" s="6">
        <f>'PG MONTHLY DATA'!J92</f>
        <v>5.0000000000000001E-4</v>
      </c>
      <c r="F92" s="7">
        <f>'PG MONTHLY DATA'!V92</f>
        <v>0.66</v>
      </c>
      <c r="G92" s="6">
        <f t="shared" si="4"/>
        <v>6.6E-3</v>
      </c>
      <c r="H92" s="7">
        <f>'PG MONTHLY DATA'!W92</f>
        <v>-2.0499999999999998</v>
      </c>
      <c r="I92" s="6">
        <f t="shared" si="5"/>
        <v>-2.0499999999999997E-2</v>
      </c>
    </row>
    <row r="93" spans="1:9" ht="15" customHeight="1" x14ac:dyDescent="0.35">
      <c r="A93" s="3">
        <f>'PG MONTHLY DATA'!A93</f>
        <v>42825</v>
      </c>
      <c r="B93" s="13">
        <f>'PG MONTHLY DATA'!K93</f>
        <v>-1.3696288569232447E-2</v>
      </c>
      <c r="C93" s="6">
        <f>'PG MONTHLY DATA'!H93</f>
        <v>1.7000000000000001E-3</v>
      </c>
      <c r="D93" s="7">
        <f>'PG MONTHLY DATA'!I93</f>
        <v>0.03</v>
      </c>
      <c r="E93" s="6">
        <f>'PG MONTHLY DATA'!J93</f>
        <v>2.9999999999999997E-4</v>
      </c>
      <c r="F93" s="7">
        <f>'PG MONTHLY DATA'!V93</f>
        <v>1.1299999999999999</v>
      </c>
      <c r="G93" s="6">
        <f t="shared" si="4"/>
        <v>1.1299999999999999E-2</v>
      </c>
      <c r="H93" s="7">
        <f>'PG MONTHLY DATA'!W93</f>
        <v>-3.33</v>
      </c>
      <c r="I93" s="6">
        <f t="shared" si="5"/>
        <v>-3.3300000000000003E-2</v>
      </c>
    </row>
    <row r="94" spans="1:9" ht="15" customHeight="1" x14ac:dyDescent="0.35">
      <c r="A94" s="3">
        <f>'PG MONTHLY DATA'!A94</f>
        <v>42794</v>
      </c>
      <c r="B94" s="13">
        <f>'PG MONTHLY DATA'!K94</f>
        <v>3.9211872146118716E-2</v>
      </c>
      <c r="C94" s="6">
        <f>'PG MONTHLY DATA'!H94</f>
        <v>3.5499999999999997E-2</v>
      </c>
      <c r="D94" s="7">
        <f>'PG MONTHLY DATA'!I94</f>
        <v>0.04</v>
      </c>
      <c r="E94" s="6">
        <f>'PG MONTHLY DATA'!J94</f>
        <v>4.0000000000000002E-4</v>
      </c>
      <c r="F94" s="7">
        <f>'PG MONTHLY DATA'!V94</f>
        <v>-2.15</v>
      </c>
      <c r="G94" s="6">
        <f t="shared" si="4"/>
        <v>-2.1499999999999998E-2</v>
      </c>
      <c r="H94" s="7">
        <f>'PG MONTHLY DATA'!W94</f>
        <v>-1.5</v>
      </c>
      <c r="I94" s="6">
        <f t="shared" si="5"/>
        <v>-1.4999999999999999E-2</v>
      </c>
    </row>
    <row r="95" spans="1:9" ht="15" customHeight="1" x14ac:dyDescent="0.35">
      <c r="A95" s="3">
        <f>'PG MONTHLY DATA'!A95</f>
        <v>42766</v>
      </c>
      <c r="B95" s="13">
        <f>'PG MONTHLY DATA'!K95</f>
        <v>4.1464890580399573E-2</v>
      </c>
      <c r="C95" s="6">
        <f>'PG MONTHLY DATA'!H95</f>
        <v>1.9400000000000001E-2</v>
      </c>
      <c r="D95" s="7">
        <f>'PG MONTHLY DATA'!I95</f>
        <v>0.04</v>
      </c>
      <c r="E95" s="6">
        <f>'PG MONTHLY DATA'!J95</f>
        <v>4.0000000000000002E-4</v>
      </c>
      <c r="F95" s="7">
        <f>'PG MONTHLY DATA'!V95</f>
        <v>-1.1599999999999999</v>
      </c>
      <c r="G95" s="6">
        <f t="shared" si="4"/>
        <v>-1.1599999999999999E-2</v>
      </c>
      <c r="H95" s="7">
        <f>'PG MONTHLY DATA'!W95</f>
        <v>-2.76</v>
      </c>
      <c r="I95" s="6">
        <f t="shared" si="5"/>
        <v>-2.76E-2</v>
      </c>
    </row>
    <row r="96" spans="1:9" ht="15" customHeight="1" x14ac:dyDescent="0.35">
      <c r="A96" s="3">
        <f>'PG MONTHLY DATA'!A96</f>
        <v>42735</v>
      </c>
      <c r="B96" s="13">
        <f>'PG MONTHLY DATA'!K96</f>
        <v>1.9345888915838036E-2</v>
      </c>
      <c r="C96" s="6">
        <f>'PG MONTHLY DATA'!H96</f>
        <v>1.8100000000000002E-2</v>
      </c>
      <c r="D96" s="7">
        <f>'PG MONTHLY DATA'!I96</f>
        <v>0.03</v>
      </c>
      <c r="E96" s="6">
        <f>'PG MONTHLY DATA'!J96</f>
        <v>2.9999999999999997E-4</v>
      </c>
      <c r="F96" s="7">
        <f>'PG MONTHLY DATA'!V96</f>
        <v>0.14000000000000001</v>
      </c>
      <c r="G96" s="6">
        <f t="shared" si="4"/>
        <v>1.4000000000000002E-3</v>
      </c>
      <c r="H96" s="7">
        <f>'PG MONTHLY DATA'!W96</f>
        <v>3.47</v>
      </c>
      <c r="I96" s="6">
        <f t="shared" si="5"/>
        <v>3.4700000000000002E-2</v>
      </c>
    </row>
    <row r="97" spans="1:9" ht="15" customHeight="1" x14ac:dyDescent="0.35">
      <c r="A97" s="3">
        <f>'PG MONTHLY DATA'!A97</f>
        <v>42704</v>
      </c>
      <c r="B97" s="13">
        <f>'PG MONTHLY DATA'!K97</f>
        <v>-5.010000000000004E-2</v>
      </c>
      <c r="C97" s="6">
        <f>'PG MONTHLY DATA'!H97</f>
        <v>4.8600000000000004E-2</v>
      </c>
      <c r="D97" s="7">
        <f>'PG MONTHLY DATA'!I97</f>
        <v>0.01</v>
      </c>
      <c r="E97" s="6">
        <f>'PG MONTHLY DATA'!J97</f>
        <v>1E-4</v>
      </c>
      <c r="F97" s="7">
        <f>'PG MONTHLY DATA'!V97</f>
        <v>5.6</v>
      </c>
      <c r="G97" s="6">
        <f t="shared" si="4"/>
        <v>5.5999999999999994E-2</v>
      </c>
      <c r="H97" s="7">
        <f>'PG MONTHLY DATA'!W97</f>
        <v>8.2899999999999991</v>
      </c>
      <c r="I97" s="6">
        <f t="shared" si="5"/>
        <v>8.2899999999999988E-2</v>
      </c>
    </row>
    <row r="98" spans="1:9" ht="15" customHeight="1" x14ac:dyDescent="0.35">
      <c r="A98" s="3">
        <f>'PG MONTHLY DATA'!A98</f>
        <v>42674</v>
      </c>
      <c r="B98" s="13">
        <f>'PG MONTHLY DATA'!K98</f>
        <v>-3.3069080779944318E-2</v>
      </c>
      <c r="C98" s="6">
        <f>'PG MONTHLY DATA'!H98</f>
        <v>-2.0099999999999996E-2</v>
      </c>
      <c r="D98" s="7">
        <f>'PG MONTHLY DATA'!I98</f>
        <v>0.02</v>
      </c>
      <c r="E98" s="6">
        <f>'PG MONTHLY DATA'!J98</f>
        <v>2.0000000000000001E-4</v>
      </c>
      <c r="F98" s="7">
        <f>'PG MONTHLY DATA'!V98</f>
        <v>-4.3899999999999997</v>
      </c>
      <c r="G98" s="6">
        <f t="shared" ref="G98:G129" si="6">F98/100</f>
        <v>-4.3899999999999995E-2</v>
      </c>
      <c r="H98" s="7">
        <f>'PG MONTHLY DATA'!W98</f>
        <v>4.1100000000000003</v>
      </c>
      <c r="I98" s="6">
        <f t="shared" ref="I98:I129" si="7">H98/100</f>
        <v>4.1100000000000005E-2</v>
      </c>
    </row>
    <row r="99" spans="1:9" ht="15" customHeight="1" x14ac:dyDescent="0.35">
      <c r="A99" s="3">
        <f>'PG MONTHLY DATA'!A99</f>
        <v>42643</v>
      </c>
      <c r="B99" s="13">
        <f>'PG MONTHLY DATA'!K99</f>
        <v>2.774639789256669E-2</v>
      </c>
      <c r="C99" s="6">
        <f>'PG MONTHLY DATA'!H99</f>
        <v>2.7000000000000001E-3</v>
      </c>
      <c r="D99" s="7">
        <f>'PG MONTHLY DATA'!I99</f>
        <v>0.02</v>
      </c>
      <c r="E99" s="6">
        <f>'PG MONTHLY DATA'!J99</f>
        <v>2.0000000000000001E-4</v>
      </c>
      <c r="F99" s="7">
        <f>'PG MONTHLY DATA'!V99</f>
        <v>2.08</v>
      </c>
      <c r="G99" s="6">
        <f t="shared" si="6"/>
        <v>2.0799999999999999E-2</v>
      </c>
      <c r="H99" s="7">
        <f>'PG MONTHLY DATA'!W99</f>
        <v>-1.19</v>
      </c>
      <c r="I99" s="6">
        <f t="shared" si="7"/>
        <v>-1.1899999999999999E-2</v>
      </c>
    </row>
    <row r="100" spans="1:9" ht="15" customHeight="1" x14ac:dyDescent="0.35">
      <c r="A100" s="3">
        <f>'PG MONTHLY DATA'!A100</f>
        <v>42613</v>
      </c>
      <c r="B100" s="13">
        <f>'PG MONTHLY DATA'!K100</f>
        <v>1.9895805584764562E-2</v>
      </c>
      <c r="C100" s="6">
        <f>'PG MONTHLY DATA'!H100</f>
        <v>4.8999999999999998E-3</v>
      </c>
      <c r="D100" s="7">
        <f>'PG MONTHLY DATA'!I100</f>
        <v>0.02</v>
      </c>
      <c r="E100" s="6">
        <f>'PG MONTHLY DATA'!J100</f>
        <v>2.0000000000000001E-4</v>
      </c>
      <c r="F100" s="7">
        <f>'PG MONTHLY DATA'!V100</f>
        <v>1.17</v>
      </c>
      <c r="G100" s="6">
        <f t="shared" si="6"/>
        <v>1.1699999999999999E-2</v>
      </c>
      <c r="H100" s="7">
        <f>'PG MONTHLY DATA'!W100</f>
        <v>3.17</v>
      </c>
      <c r="I100" s="6">
        <f t="shared" si="7"/>
        <v>3.1699999999999999E-2</v>
      </c>
    </row>
    <row r="101" spans="1:9" ht="15" customHeight="1" x14ac:dyDescent="0.35">
      <c r="A101" s="3">
        <f>'PG MONTHLY DATA'!A101</f>
        <v>42582</v>
      </c>
      <c r="B101" s="13">
        <f>'PG MONTHLY DATA'!K101</f>
        <v>1.0665713948269772E-2</v>
      </c>
      <c r="C101" s="6">
        <f>'PG MONTHLY DATA'!H101</f>
        <v>3.9399999999999998E-2</v>
      </c>
      <c r="D101" s="7">
        <f>'PG MONTHLY DATA'!I101</f>
        <v>0.02</v>
      </c>
      <c r="E101" s="6">
        <f>'PG MONTHLY DATA'!J101</f>
        <v>2.0000000000000001E-4</v>
      </c>
      <c r="F101" s="7">
        <f>'PG MONTHLY DATA'!V101</f>
        <v>2.4500000000000002</v>
      </c>
      <c r="G101" s="6">
        <f t="shared" si="6"/>
        <v>2.4500000000000001E-2</v>
      </c>
      <c r="H101" s="7">
        <f>'PG MONTHLY DATA'!W101</f>
        <v>-1.24</v>
      </c>
      <c r="I101" s="6">
        <f t="shared" si="7"/>
        <v>-1.24E-2</v>
      </c>
    </row>
    <row r="102" spans="1:9" ht="15" customHeight="1" x14ac:dyDescent="0.35">
      <c r="A102" s="3">
        <f>'PG MONTHLY DATA'!A102</f>
        <v>42551</v>
      </c>
      <c r="B102" s="13">
        <f>'PG MONTHLY DATA'!K102</f>
        <v>4.4592694965449105E-2</v>
      </c>
      <c r="C102" s="6">
        <f>'PG MONTHLY DATA'!H102</f>
        <v>-2.9999999999999997E-4</v>
      </c>
      <c r="D102" s="7">
        <f>'PG MONTHLY DATA'!I102</f>
        <v>0.02</v>
      </c>
      <c r="E102" s="6">
        <f>'PG MONTHLY DATA'!J102</f>
        <v>2.0000000000000001E-4</v>
      </c>
      <c r="F102" s="7">
        <f>'PG MONTHLY DATA'!V102</f>
        <v>0.6</v>
      </c>
      <c r="G102" s="6">
        <f t="shared" si="6"/>
        <v>6.0000000000000001E-3</v>
      </c>
      <c r="H102" s="7">
        <f>'PG MONTHLY DATA'!W102</f>
        <v>-1.49</v>
      </c>
      <c r="I102" s="6">
        <f t="shared" si="7"/>
        <v>-1.49E-2</v>
      </c>
    </row>
    <row r="103" spans="1:9" ht="15" customHeight="1" x14ac:dyDescent="0.35">
      <c r="A103" s="3">
        <f>'PG MONTHLY DATA'!A103</f>
        <v>42521</v>
      </c>
      <c r="B103" s="13">
        <f>'PG MONTHLY DATA'!K103</f>
        <v>1.1382775836245652E-2</v>
      </c>
      <c r="C103" s="6">
        <f>'PG MONTHLY DATA'!H103</f>
        <v>1.78E-2</v>
      </c>
      <c r="D103" s="7">
        <f>'PG MONTHLY DATA'!I103</f>
        <v>0.01</v>
      </c>
      <c r="E103" s="6">
        <f>'PG MONTHLY DATA'!J103</f>
        <v>1E-4</v>
      </c>
      <c r="F103" s="7">
        <f>'PG MONTHLY DATA'!V103</f>
        <v>-0.18</v>
      </c>
      <c r="G103" s="6">
        <f t="shared" si="6"/>
        <v>-1.8E-3</v>
      </c>
      <c r="H103" s="7">
        <f>'PG MONTHLY DATA'!W103</f>
        <v>-1.62</v>
      </c>
      <c r="I103" s="6">
        <f t="shared" si="7"/>
        <v>-1.6200000000000003E-2</v>
      </c>
    </row>
    <row r="104" spans="1:9" ht="15" customHeight="1" x14ac:dyDescent="0.35">
      <c r="A104" s="3">
        <f>'PG MONTHLY DATA'!A104</f>
        <v>42490</v>
      </c>
      <c r="B104" s="13">
        <f>'PG MONTHLY DATA'!K104</f>
        <v>-2.6706730652411585E-2</v>
      </c>
      <c r="C104" s="6">
        <f>'PG MONTHLY DATA'!H104</f>
        <v>9.1999999999999998E-3</v>
      </c>
      <c r="D104" s="7">
        <f>'PG MONTHLY DATA'!I104</f>
        <v>0.01</v>
      </c>
      <c r="E104" s="6">
        <f>'PG MONTHLY DATA'!J104</f>
        <v>1E-4</v>
      </c>
      <c r="F104" s="7">
        <f>'PG MONTHLY DATA'!V104</f>
        <v>0.77</v>
      </c>
      <c r="G104" s="6">
        <f t="shared" si="6"/>
        <v>7.7000000000000002E-3</v>
      </c>
      <c r="H104" s="7">
        <f>'PG MONTHLY DATA'!W104</f>
        <v>3.22</v>
      </c>
      <c r="I104" s="6">
        <f t="shared" si="7"/>
        <v>3.2199999999999999E-2</v>
      </c>
    </row>
    <row r="105" spans="1:9" ht="15" customHeight="1" x14ac:dyDescent="0.35">
      <c r="A105" s="3">
        <f>'PG MONTHLY DATA'!A105</f>
        <v>42460</v>
      </c>
      <c r="B105" s="13">
        <f>'PG MONTHLY DATA'!K105</f>
        <v>2.4958799352347689E-2</v>
      </c>
      <c r="C105" s="6">
        <f>'PG MONTHLY DATA'!H105</f>
        <v>6.9500000000000006E-2</v>
      </c>
      <c r="D105" s="7">
        <f>'PG MONTHLY DATA'!I105</f>
        <v>0.02</v>
      </c>
      <c r="E105" s="6">
        <f>'PG MONTHLY DATA'!J105</f>
        <v>2.0000000000000001E-4</v>
      </c>
      <c r="F105" s="7">
        <f>'PG MONTHLY DATA'!V105</f>
        <v>0.75</v>
      </c>
      <c r="G105" s="6">
        <f t="shared" si="6"/>
        <v>7.4999999999999997E-3</v>
      </c>
      <c r="H105" s="7">
        <f>'PG MONTHLY DATA'!W105</f>
        <v>1.22</v>
      </c>
      <c r="I105" s="6">
        <f t="shared" si="7"/>
        <v>1.2199999999999999E-2</v>
      </c>
    </row>
    <row r="106" spans="1:9" ht="15" customHeight="1" x14ac:dyDescent="0.35">
      <c r="A106" s="3">
        <f>'PG MONTHLY DATA'!A106</f>
        <v>42429</v>
      </c>
      <c r="B106" s="13">
        <f>'PG MONTHLY DATA'!K106</f>
        <v>-1.7337960582690555E-2</v>
      </c>
      <c r="C106" s="6">
        <f>'PG MONTHLY DATA'!H106</f>
        <v>-5.9999999999999995E-4</v>
      </c>
      <c r="D106" s="7">
        <f>'PG MONTHLY DATA'!I106</f>
        <v>0.02</v>
      </c>
      <c r="E106" s="6">
        <f>'PG MONTHLY DATA'!J106</f>
        <v>2.0000000000000001E-4</v>
      </c>
      <c r="F106" s="7">
        <f>'PG MONTHLY DATA'!V106</f>
        <v>0.73</v>
      </c>
      <c r="G106" s="6">
        <f t="shared" si="6"/>
        <v>7.3000000000000001E-3</v>
      </c>
      <c r="H106" s="7">
        <f>'PG MONTHLY DATA'!W106</f>
        <v>-0.61</v>
      </c>
      <c r="I106" s="6">
        <f t="shared" si="7"/>
        <v>-6.0999999999999995E-3</v>
      </c>
    </row>
    <row r="107" spans="1:9" ht="15" customHeight="1" x14ac:dyDescent="0.35">
      <c r="A107" s="3">
        <f>'PG MONTHLY DATA'!A107</f>
        <v>42400</v>
      </c>
      <c r="B107" s="13">
        <f>'PG MONTHLY DATA'!K107</f>
        <v>2.8611749149981127E-2</v>
      </c>
      <c r="C107" s="6">
        <f>'PG MONTHLY DATA'!H107</f>
        <v>-5.74E-2</v>
      </c>
      <c r="D107" s="7">
        <f>'PG MONTHLY DATA'!I107</f>
        <v>0.01</v>
      </c>
      <c r="E107" s="6">
        <f>'PG MONTHLY DATA'!J107</f>
        <v>1E-4</v>
      </c>
      <c r="F107" s="7">
        <f>'PG MONTHLY DATA'!V107</f>
        <v>-3.4</v>
      </c>
      <c r="G107" s="6">
        <f t="shared" si="6"/>
        <v>-3.4000000000000002E-2</v>
      </c>
      <c r="H107" s="7">
        <f>'PG MONTHLY DATA'!W107</f>
        <v>2.08</v>
      </c>
      <c r="I107" s="6">
        <f t="shared" si="7"/>
        <v>2.0799999999999999E-2</v>
      </c>
    </row>
    <row r="108" spans="1:9" ht="15" customHeight="1" x14ac:dyDescent="0.35">
      <c r="A108" s="3">
        <f>'PG MONTHLY DATA'!A108</f>
        <v>42369</v>
      </c>
      <c r="B108" s="13">
        <f>'PG MONTHLY DATA'!K108</f>
        <v>6.0963602351683494E-2</v>
      </c>
      <c r="C108" s="6">
        <f>'PG MONTHLY DATA'!H108</f>
        <v>-2.1499999999999998E-2</v>
      </c>
      <c r="D108" s="7">
        <f>'PG MONTHLY DATA'!I108</f>
        <v>0.01</v>
      </c>
      <c r="E108" s="6">
        <f>'PG MONTHLY DATA'!J108</f>
        <v>1E-4</v>
      </c>
      <c r="F108" s="7">
        <f>'PG MONTHLY DATA'!V108</f>
        <v>-2.8</v>
      </c>
      <c r="G108" s="6">
        <f t="shared" si="6"/>
        <v>-2.7999999999999997E-2</v>
      </c>
      <c r="H108" s="7">
        <f>'PG MONTHLY DATA'!W108</f>
        <v>-2.57</v>
      </c>
      <c r="I108" s="6">
        <f t="shared" si="7"/>
        <v>-2.5699999999999997E-2</v>
      </c>
    </row>
    <row r="109" spans="1:9" ht="15" customHeight="1" x14ac:dyDescent="0.35">
      <c r="A109" s="3">
        <f>'PG MONTHLY DATA'!A109</f>
        <v>42338</v>
      </c>
      <c r="B109" s="13">
        <f>'PG MONTHLY DATA'!K109</f>
        <v>-2.0162346163917152E-2</v>
      </c>
      <c r="C109" s="6">
        <f>'PG MONTHLY DATA'!H109</f>
        <v>5.6999999999999993E-3</v>
      </c>
      <c r="D109" s="7">
        <f>'PG MONTHLY DATA'!I109</f>
        <v>0</v>
      </c>
      <c r="E109" s="6">
        <f>'PG MONTHLY DATA'!J109</f>
        <v>0</v>
      </c>
      <c r="F109" s="7">
        <f>'PG MONTHLY DATA'!V109</f>
        <v>3.58</v>
      </c>
      <c r="G109" s="6">
        <f t="shared" si="6"/>
        <v>3.5799999999999998E-2</v>
      </c>
      <c r="H109" s="7">
        <f>'PG MONTHLY DATA'!W109</f>
        <v>-0.43</v>
      </c>
      <c r="I109" s="6">
        <f t="shared" si="7"/>
        <v>-4.3E-3</v>
      </c>
    </row>
    <row r="110" spans="1:9" ht="15" customHeight="1" x14ac:dyDescent="0.35">
      <c r="A110" s="3">
        <f>'PG MONTHLY DATA'!A110</f>
        <v>42308</v>
      </c>
      <c r="B110" s="13">
        <f>'PG MONTHLY DATA'!K110</f>
        <v>6.171809841534609E-2</v>
      </c>
      <c r="C110" s="6">
        <f>'PG MONTHLY DATA'!H110</f>
        <v>7.7499999999999999E-2</v>
      </c>
      <c r="D110" s="7">
        <f>'PG MONTHLY DATA'!I110</f>
        <v>0</v>
      </c>
      <c r="E110" s="6">
        <f>'PG MONTHLY DATA'!J110</f>
        <v>0</v>
      </c>
      <c r="F110" s="7">
        <f>'PG MONTHLY DATA'!V110</f>
        <v>-1.9</v>
      </c>
      <c r="G110" s="6">
        <f t="shared" si="6"/>
        <v>-1.9E-2</v>
      </c>
      <c r="H110" s="7">
        <f>'PG MONTHLY DATA'!W110</f>
        <v>-0.47</v>
      </c>
      <c r="I110" s="6">
        <f t="shared" si="7"/>
        <v>-4.6999999999999993E-3</v>
      </c>
    </row>
    <row r="111" spans="1:9" ht="15" customHeight="1" x14ac:dyDescent="0.35">
      <c r="A111" s="3">
        <f>'PG MONTHLY DATA'!A111</f>
        <v>42277</v>
      </c>
      <c r="B111" s="13">
        <f>'PG MONTHLY DATA'!K111</f>
        <v>1.7970850431583359E-2</v>
      </c>
      <c r="C111" s="6">
        <f>'PG MONTHLY DATA'!H111</f>
        <v>-3.0600000000000002E-2</v>
      </c>
      <c r="D111" s="7">
        <f>'PG MONTHLY DATA'!I111</f>
        <v>0</v>
      </c>
      <c r="E111" s="6">
        <f>'PG MONTHLY DATA'!J111</f>
        <v>0</v>
      </c>
      <c r="F111" s="7">
        <f>'PG MONTHLY DATA'!V111</f>
        <v>-2.63</v>
      </c>
      <c r="G111" s="6">
        <f t="shared" si="6"/>
        <v>-2.63E-2</v>
      </c>
      <c r="H111" s="7">
        <f>'PG MONTHLY DATA'!W111</f>
        <v>0.55000000000000004</v>
      </c>
      <c r="I111" s="6">
        <f t="shared" si="7"/>
        <v>5.5000000000000005E-3</v>
      </c>
    </row>
    <row r="112" spans="1:9" ht="15" customHeight="1" x14ac:dyDescent="0.35">
      <c r="A112" s="3">
        <f>'PG MONTHLY DATA'!A112</f>
        <v>42247</v>
      </c>
      <c r="B112" s="13">
        <f>'PG MONTHLY DATA'!K112</f>
        <v>-7.8617992177314217E-2</v>
      </c>
      <c r="C112" s="6">
        <f>'PG MONTHLY DATA'!H112</f>
        <v>-6.0199999999999997E-2</v>
      </c>
      <c r="D112" s="7">
        <f>'PG MONTHLY DATA'!I112</f>
        <v>0</v>
      </c>
      <c r="E112" s="6">
        <f>'PG MONTHLY DATA'!J112</f>
        <v>0</v>
      </c>
      <c r="F112" s="7">
        <f>'PG MONTHLY DATA'!V112</f>
        <v>0.37</v>
      </c>
      <c r="G112" s="6">
        <f t="shared" si="6"/>
        <v>3.7000000000000002E-3</v>
      </c>
      <c r="H112" s="7">
        <f>'PG MONTHLY DATA'!W112</f>
        <v>2.75</v>
      </c>
      <c r="I112" s="6">
        <f t="shared" si="7"/>
        <v>2.75E-2</v>
      </c>
    </row>
    <row r="113" spans="1:9" ht="15" customHeight="1" x14ac:dyDescent="0.35">
      <c r="A113" s="3">
        <f>'PG MONTHLY DATA'!A113</f>
        <v>42216</v>
      </c>
      <c r="B113" s="13">
        <f>'PG MONTHLY DATA'!K113</f>
        <v>-1.9683026584866974E-2</v>
      </c>
      <c r="C113" s="6">
        <f>'PG MONTHLY DATA'!H113</f>
        <v>1.5700000000000002E-2</v>
      </c>
      <c r="D113" s="7">
        <f>'PG MONTHLY DATA'!I113</f>
        <v>0</v>
      </c>
      <c r="E113" s="6">
        <f>'PG MONTHLY DATA'!J113</f>
        <v>0</v>
      </c>
      <c r="F113" s="7">
        <f>'PG MONTHLY DATA'!V113</f>
        <v>-4.17</v>
      </c>
      <c r="G113" s="6">
        <f t="shared" si="6"/>
        <v>-4.1700000000000001E-2</v>
      </c>
      <c r="H113" s="7">
        <f>'PG MONTHLY DATA'!W113</f>
        <v>-4.16</v>
      </c>
      <c r="I113" s="6">
        <f t="shared" si="7"/>
        <v>-4.1599999999999998E-2</v>
      </c>
    </row>
    <row r="114" spans="1:9" ht="15" customHeight="1" x14ac:dyDescent="0.35">
      <c r="A114" s="3">
        <f>'PG MONTHLY DATA'!A114</f>
        <v>42185</v>
      </c>
      <c r="B114" s="13">
        <f>'PG MONTHLY DATA'!K114</f>
        <v>-1.9135093761960158E-3</v>
      </c>
      <c r="C114" s="6">
        <f>'PG MONTHLY DATA'!H114</f>
        <v>-1.52E-2</v>
      </c>
      <c r="D114" s="7">
        <f>'PG MONTHLY DATA'!I114</f>
        <v>0</v>
      </c>
      <c r="E114" s="6">
        <f>'PG MONTHLY DATA'!J114</f>
        <v>0</v>
      </c>
      <c r="F114" s="7">
        <f>'PG MONTHLY DATA'!V114</f>
        <v>2.94</v>
      </c>
      <c r="G114" s="6">
        <f t="shared" si="6"/>
        <v>2.9399999999999999E-2</v>
      </c>
      <c r="H114" s="7">
        <f>'PG MONTHLY DATA'!W114</f>
        <v>-0.82</v>
      </c>
      <c r="I114" s="6">
        <f t="shared" si="7"/>
        <v>-8.199999999999999E-3</v>
      </c>
    </row>
    <row r="115" spans="1:9" ht="15" customHeight="1" x14ac:dyDescent="0.35">
      <c r="A115" s="3">
        <f>'PG MONTHLY DATA'!A115</f>
        <v>42155</v>
      </c>
      <c r="B115" s="13">
        <f>'PG MONTHLY DATA'!K115</f>
        <v>-1.408627845554024E-2</v>
      </c>
      <c r="C115" s="6">
        <f>'PG MONTHLY DATA'!H115</f>
        <v>1.37E-2</v>
      </c>
      <c r="D115" s="7">
        <f>'PG MONTHLY DATA'!I115</f>
        <v>0</v>
      </c>
      <c r="E115" s="6">
        <f>'PG MONTHLY DATA'!J115</f>
        <v>0</v>
      </c>
      <c r="F115" s="7">
        <f>'PG MONTHLY DATA'!V115</f>
        <v>0.95</v>
      </c>
      <c r="G115" s="6">
        <f t="shared" si="6"/>
        <v>9.4999999999999998E-3</v>
      </c>
      <c r="H115" s="7">
        <f>'PG MONTHLY DATA'!W115</f>
        <v>-1.1100000000000001</v>
      </c>
      <c r="I115" s="6">
        <f t="shared" si="7"/>
        <v>-1.11E-2</v>
      </c>
    </row>
    <row r="116" spans="1:9" ht="15" customHeight="1" x14ac:dyDescent="0.35">
      <c r="A116" s="3">
        <f>'PG MONTHLY DATA'!A116</f>
        <v>42124</v>
      </c>
      <c r="B116" s="13">
        <f>'PG MONTHLY DATA'!K116</f>
        <v>-2.9655845740785853E-2</v>
      </c>
      <c r="C116" s="6">
        <f>'PG MONTHLY DATA'!H116</f>
        <v>5.8999999999999999E-3</v>
      </c>
      <c r="D116" s="7">
        <f>'PG MONTHLY DATA'!I116</f>
        <v>0</v>
      </c>
      <c r="E116" s="6">
        <f>'PG MONTHLY DATA'!J116</f>
        <v>0</v>
      </c>
      <c r="F116" s="7">
        <f>'PG MONTHLY DATA'!V116</f>
        <v>-2.99</v>
      </c>
      <c r="G116" s="6">
        <f t="shared" si="6"/>
        <v>-2.9900000000000003E-2</v>
      </c>
      <c r="H116" s="7">
        <f>'PG MONTHLY DATA'!W116</f>
        <v>1.8</v>
      </c>
      <c r="I116" s="6">
        <f t="shared" si="7"/>
        <v>1.8000000000000002E-2</v>
      </c>
    </row>
    <row r="117" spans="1:9" ht="15" customHeight="1" x14ac:dyDescent="0.35">
      <c r="A117" s="3">
        <f>'PG MONTHLY DATA'!A117</f>
        <v>42094</v>
      </c>
      <c r="B117" s="13">
        <f>'PG MONTHLY DATA'!K117</f>
        <v>-3.7472101491835989E-2</v>
      </c>
      <c r="C117" s="6">
        <f>'PG MONTHLY DATA'!H117</f>
        <v>-1.11E-2</v>
      </c>
      <c r="D117" s="7">
        <f>'PG MONTHLY DATA'!I117</f>
        <v>0</v>
      </c>
      <c r="E117" s="6">
        <f>'PG MONTHLY DATA'!J117</f>
        <v>0</v>
      </c>
      <c r="F117" s="7">
        <f>'PG MONTHLY DATA'!V117</f>
        <v>3.05</v>
      </c>
      <c r="G117" s="6">
        <f t="shared" si="6"/>
        <v>3.0499999999999999E-2</v>
      </c>
      <c r="H117" s="7">
        <f>'PG MONTHLY DATA'!W117</f>
        <v>-0.38</v>
      </c>
      <c r="I117" s="6">
        <f t="shared" si="7"/>
        <v>-3.8E-3</v>
      </c>
    </row>
    <row r="118" spans="1:9" ht="15" customHeight="1" x14ac:dyDescent="0.35">
      <c r="A118" s="3">
        <f>'PG MONTHLY DATA'!A118</f>
        <v>42063</v>
      </c>
      <c r="B118" s="13">
        <f>'PG MONTHLY DATA'!K118</f>
        <v>9.9655949697471727E-3</v>
      </c>
      <c r="C118" s="6">
        <f>'PG MONTHLY DATA'!H118</f>
        <v>6.13E-2</v>
      </c>
      <c r="D118" s="7">
        <f>'PG MONTHLY DATA'!I118</f>
        <v>0</v>
      </c>
      <c r="E118" s="6">
        <f>'PG MONTHLY DATA'!J118</f>
        <v>0</v>
      </c>
      <c r="F118" s="7">
        <f>'PG MONTHLY DATA'!V118</f>
        <v>0.61</v>
      </c>
      <c r="G118" s="6">
        <f t="shared" si="6"/>
        <v>6.0999999999999995E-3</v>
      </c>
      <c r="H118" s="7">
        <f>'PG MONTHLY DATA'!W118</f>
        <v>-1.79</v>
      </c>
      <c r="I118" s="6">
        <f t="shared" si="7"/>
        <v>-1.7899999999999999E-2</v>
      </c>
    </row>
    <row r="119" spans="1:9" ht="15" customHeight="1" x14ac:dyDescent="0.35">
      <c r="A119" s="3">
        <f>'PG MONTHLY DATA'!A119</f>
        <v>42035</v>
      </c>
      <c r="B119" s="13">
        <f>'PG MONTHLY DATA'!K119</f>
        <v>-7.4651443627181874E-2</v>
      </c>
      <c r="C119" s="6">
        <f>'PG MONTHLY DATA'!H119</f>
        <v>-3.1E-2</v>
      </c>
      <c r="D119" s="7">
        <f>'PG MONTHLY DATA'!I119</f>
        <v>0</v>
      </c>
      <c r="E119" s="6">
        <f>'PG MONTHLY DATA'!J119</f>
        <v>0</v>
      </c>
      <c r="F119" s="7">
        <f>'PG MONTHLY DATA'!V119</f>
        <v>-0.59</v>
      </c>
      <c r="G119" s="6">
        <f t="shared" si="6"/>
        <v>-5.8999999999999999E-3</v>
      </c>
      <c r="H119" s="7">
        <f>'PG MONTHLY DATA'!W119</f>
        <v>-3.45</v>
      </c>
      <c r="I119" s="6">
        <f t="shared" si="7"/>
        <v>-3.4500000000000003E-2</v>
      </c>
    </row>
    <row r="120" spans="1:9" ht="15" customHeight="1" x14ac:dyDescent="0.35">
      <c r="A120" s="3">
        <f>'PG MONTHLY DATA'!A120</f>
        <v>42004</v>
      </c>
      <c r="B120" s="13">
        <f>'PG MONTHLY DATA'!K120</f>
        <v>7.2984628994802224E-3</v>
      </c>
      <c r="C120" s="6">
        <f>'PG MONTHLY DATA'!H120</f>
        <v>-5.0000000000000001E-4</v>
      </c>
      <c r="D120" s="7">
        <f>'PG MONTHLY DATA'!I120</f>
        <v>0</v>
      </c>
      <c r="E120" s="6">
        <f>'PG MONTHLY DATA'!J120</f>
        <v>0</v>
      </c>
      <c r="F120" s="7">
        <f>'PG MONTHLY DATA'!V120</f>
        <v>2.5299999999999998</v>
      </c>
      <c r="G120" s="6">
        <f t="shared" si="6"/>
        <v>2.53E-2</v>
      </c>
      <c r="H120" s="7">
        <f>'PG MONTHLY DATA'!W120</f>
        <v>2.12</v>
      </c>
      <c r="I120" s="6">
        <f t="shared" si="7"/>
        <v>2.12E-2</v>
      </c>
    </row>
    <row r="121" spans="1:9" ht="15" customHeight="1" x14ac:dyDescent="0.35">
      <c r="A121" s="3">
        <f>'PG MONTHLY DATA'!A121</f>
        <v>41973</v>
      </c>
      <c r="B121" s="13">
        <f>'PG MONTHLY DATA'!K121</f>
        <v>3.6209464879110934E-2</v>
      </c>
      <c r="C121" s="6">
        <f>'PG MONTHLY DATA'!H121</f>
        <v>2.5600000000000001E-2</v>
      </c>
      <c r="D121" s="7">
        <f>'PG MONTHLY DATA'!I121</f>
        <v>0</v>
      </c>
      <c r="E121" s="6">
        <f>'PG MONTHLY DATA'!J121</f>
        <v>0</v>
      </c>
      <c r="F121" s="7">
        <f>'PG MONTHLY DATA'!V121</f>
        <v>-2.0499999999999998</v>
      </c>
      <c r="G121" s="6">
        <f t="shared" si="6"/>
        <v>-2.0499999999999997E-2</v>
      </c>
      <c r="H121" s="7">
        <f>'PG MONTHLY DATA'!W121</f>
        <v>-3.13</v>
      </c>
      <c r="I121" s="6">
        <f t="shared" si="7"/>
        <v>-3.1300000000000001E-2</v>
      </c>
    </row>
    <row r="122" spans="1:9" ht="15" customHeight="1" x14ac:dyDescent="0.35">
      <c r="A122" s="3">
        <f>'PG MONTHLY DATA'!A122</f>
        <v>41943</v>
      </c>
      <c r="B122" s="13">
        <f>'PG MONTHLY DATA'!K122</f>
        <v>4.2154287079054234E-2</v>
      </c>
      <c r="C122" s="6">
        <f>'PG MONTHLY DATA'!H122</f>
        <v>2.5099999999999997E-2</v>
      </c>
      <c r="D122" s="7">
        <f>'PG MONTHLY DATA'!I122</f>
        <v>0</v>
      </c>
      <c r="E122" s="6">
        <f>'PG MONTHLY DATA'!J122</f>
        <v>0</v>
      </c>
      <c r="F122" s="7">
        <f>'PG MONTHLY DATA'!V122</f>
        <v>4.05</v>
      </c>
      <c r="G122" s="6">
        <f t="shared" si="6"/>
        <v>4.0500000000000001E-2</v>
      </c>
      <c r="H122" s="7">
        <f>'PG MONTHLY DATA'!W122</f>
        <v>-1.63</v>
      </c>
      <c r="I122" s="6">
        <f t="shared" si="7"/>
        <v>-1.6299999999999999E-2</v>
      </c>
    </row>
    <row r="123" spans="1:9" ht="15" customHeight="1" x14ac:dyDescent="0.35">
      <c r="A123" s="3">
        <f>'PG MONTHLY DATA'!A123</f>
        <v>41912</v>
      </c>
      <c r="B123" s="13">
        <f>'PG MONTHLY DATA'!K123</f>
        <v>7.5803152448561603E-3</v>
      </c>
      <c r="C123" s="6">
        <f>'PG MONTHLY DATA'!H123</f>
        <v>-1.9599999999999999E-2</v>
      </c>
      <c r="D123" s="7">
        <f>'PG MONTHLY DATA'!I123</f>
        <v>0</v>
      </c>
      <c r="E123" s="6">
        <f>'PG MONTHLY DATA'!J123</f>
        <v>0</v>
      </c>
      <c r="F123" s="7">
        <f>'PG MONTHLY DATA'!V123</f>
        <v>-3.59</v>
      </c>
      <c r="G123" s="6">
        <f t="shared" si="6"/>
        <v>-3.5900000000000001E-2</v>
      </c>
      <c r="H123" s="7">
        <f>'PG MONTHLY DATA'!W123</f>
        <v>-1.47</v>
      </c>
      <c r="I123" s="6">
        <f t="shared" si="7"/>
        <v>-1.47E-2</v>
      </c>
    </row>
    <row r="124" spans="1:9" ht="15" customHeight="1" x14ac:dyDescent="0.35">
      <c r="A124" s="3">
        <f>'PG MONTHLY DATA'!A124</f>
        <v>41882</v>
      </c>
      <c r="B124" s="13">
        <f>'PG MONTHLY DATA'!K124</f>
        <v>7.488360062079677E-2</v>
      </c>
      <c r="C124" s="6">
        <f>'PG MONTHLY DATA'!H124</f>
        <v>4.24E-2</v>
      </c>
      <c r="D124" s="7">
        <f>'PG MONTHLY DATA'!I124</f>
        <v>0</v>
      </c>
      <c r="E124" s="6">
        <f>'PG MONTHLY DATA'!J124</f>
        <v>0</v>
      </c>
      <c r="F124" s="7">
        <f>'PG MONTHLY DATA'!V124</f>
        <v>0.41</v>
      </c>
      <c r="G124" s="6">
        <f t="shared" si="6"/>
        <v>4.0999999999999995E-3</v>
      </c>
      <c r="H124" s="7">
        <f>'PG MONTHLY DATA'!W124</f>
        <v>-0.56999999999999995</v>
      </c>
      <c r="I124" s="6">
        <f t="shared" si="7"/>
        <v>-5.6999999999999993E-3</v>
      </c>
    </row>
    <row r="125" spans="1:9" ht="15" customHeight="1" x14ac:dyDescent="0.35">
      <c r="A125" s="3">
        <f>'PG MONTHLY DATA'!A125</f>
        <v>41851</v>
      </c>
      <c r="B125" s="13">
        <f>'PG MONTHLY DATA'!K125</f>
        <v>-1.6159816770581627E-2</v>
      </c>
      <c r="C125" s="6">
        <f>'PG MONTHLY DATA'!H125</f>
        <v>-2.0299999999999999E-2</v>
      </c>
      <c r="D125" s="7">
        <f>'PG MONTHLY DATA'!I125</f>
        <v>0</v>
      </c>
      <c r="E125" s="6">
        <f>'PG MONTHLY DATA'!J125</f>
        <v>0</v>
      </c>
      <c r="F125" s="7">
        <f>'PG MONTHLY DATA'!V125</f>
        <v>-4.18</v>
      </c>
      <c r="G125" s="6">
        <f t="shared" si="6"/>
        <v>-4.1799999999999997E-2</v>
      </c>
      <c r="H125" s="7">
        <f>'PG MONTHLY DATA'!W125</f>
        <v>-0.08</v>
      </c>
      <c r="I125" s="6">
        <f t="shared" si="7"/>
        <v>-8.0000000000000004E-4</v>
      </c>
    </row>
    <row r="126" spans="1:9" ht="15" customHeight="1" x14ac:dyDescent="0.35">
      <c r="A126" s="3">
        <f>'PG MONTHLY DATA'!A126</f>
        <v>41820</v>
      </c>
      <c r="B126" s="13">
        <f>'PG MONTHLY DATA'!K126</f>
        <v>-2.7231092957049174E-2</v>
      </c>
      <c r="C126" s="6">
        <f>'PG MONTHLY DATA'!H126</f>
        <v>2.6000000000000002E-2</v>
      </c>
      <c r="D126" s="7">
        <f>'PG MONTHLY DATA'!I126</f>
        <v>0</v>
      </c>
      <c r="E126" s="6">
        <f>'PG MONTHLY DATA'!J126</f>
        <v>0</v>
      </c>
      <c r="F126" s="7">
        <f>'PG MONTHLY DATA'!V126</f>
        <v>3.05</v>
      </c>
      <c r="G126" s="6">
        <f t="shared" si="6"/>
        <v>3.0499999999999999E-2</v>
      </c>
      <c r="H126" s="7">
        <f>'PG MONTHLY DATA'!W126</f>
        <v>-0.71</v>
      </c>
      <c r="I126" s="6">
        <f t="shared" si="7"/>
        <v>-7.0999999999999995E-3</v>
      </c>
    </row>
    <row r="127" spans="1:9" ht="15" customHeight="1" x14ac:dyDescent="0.35">
      <c r="A127" s="3">
        <f>'PG MONTHLY DATA'!A127</f>
        <v>41790</v>
      </c>
      <c r="B127" s="13">
        <f>'PG MONTHLY DATA'!K127</f>
        <v>-2.1320411871592865E-2</v>
      </c>
      <c r="C127" s="6">
        <f>'PG MONTHLY DATA'!H127</f>
        <v>2.0499999999999997E-2</v>
      </c>
      <c r="D127" s="7">
        <f>'PG MONTHLY DATA'!I127</f>
        <v>0</v>
      </c>
      <c r="E127" s="6">
        <f>'PG MONTHLY DATA'!J127</f>
        <v>0</v>
      </c>
      <c r="F127" s="7">
        <f>'PG MONTHLY DATA'!V127</f>
        <v>-1.85</v>
      </c>
      <c r="G127" s="6">
        <f t="shared" si="6"/>
        <v>-1.8500000000000003E-2</v>
      </c>
      <c r="H127" s="7">
        <f>'PG MONTHLY DATA'!W127</f>
        <v>-0.1</v>
      </c>
      <c r="I127" s="6">
        <f t="shared" si="7"/>
        <v>-1E-3</v>
      </c>
    </row>
    <row r="128" spans="1:9" ht="15" customHeight="1" x14ac:dyDescent="0.35">
      <c r="A128" s="3">
        <f>'PG MONTHLY DATA'!A128</f>
        <v>41759</v>
      </c>
      <c r="B128" s="13">
        <f>'PG MONTHLY DATA'!K128</f>
        <v>2.4193548387096812E-2</v>
      </c>
      <c r="C128" s="6">
        <f>'PG MONTHLY DATA'!H128</f>
        <v>-1.8E-3</v>
      </c>
      <c r="D128" s="7">
        <f>'PG MONTHLY DATA'!I128</f>
        <v>0</v>
      </c>
      <c r="E128" s="6">
        <f>'PG MONTHLY DATA'!J128</f>
        <v>0</v>
      </c>
      <c r="F128" s="7">
        <f>'PG MONTHLY DATA'!V128</f>
        <v>-4.18</v>
      </c>
      <c r="G128" s="6">
        <f t="shared" si="6"/>
        <v>-4.1799999999999997E-2</v>
      </c>
      <c r="H128" s="7">
        <f>'PG MONTHLY DATA'!W128</f>
        <v>1.22</v>
      </c>
      <c r="I128" s="6">
        <f t="shared" si="7"/>
        <v>1.2199999999999999E-2</v>
      </c>
    </row>
    <row r="129" spans="1:9" ht="15" customHeight="1" x14ac:dyDescent="0.35">
      <c r="A129" s="3">
        <f>'PG MONTHLY DATA'!A129</f>
        <v>41729</v>
      </c>
      <c r="B129" s="13">
        <f>'PG MONTHLY DATA'!K129</f>
        <v>2.4663107042969715E-2</v>
      </c>
      <c r="C129" s="6">
        <f>'PG MONTHLY DATA'!H129</f>
        <v>4.3E-3</v>
      </c>
      <c r="D129" s="7">
        <f>'PG MONTHLY DATA'!I129</f>
        <v>0</v>
      </c>
      <c r="E129" s="6">
        <f>'PG MONTHLY DATA'!J129</f>
        <v>0</v>
      </c>
      <c r="F129" s="7">
        <f>'PG MONTHLY DATA'!V129</f>
        <v>-1.86</v>
      </c>
      <c r="G129" s="6">
        <f t="shared" si="6"/>
        <v>-1.8600000000000002E-2</v>
      </c>
      <c r="H129" s="7">
        <f>'PG MONTHLY DATA'!W129</f>
        <v>4.9000000000000004</v>
      </c>
      <c r="I129" s="6">
        <f t="shared" si="7"/>
        <v>4.9000000000000002E-2</v>
      </c>
    </row>
    <row r="130" spans="1:9" ht="15" customHeight="1" x14ac:dyDescent="0.35">
      <c r="A130" s="3">
        <f>'PG MONTHLY DATA'!A130</f>
        <v>41698</v>
      </c>
      <c r="B130" s="13">
        <f>'PG MONTHLY DATA'!K130</f>
        <v>2.6624902114330357E-2</v>
      </c>
      <c r="C130" s="6">
        <f>'PG MONTHLY DATA'!H130</f>
        <v>4.6600000000000003E-2</v>
      </c>
      <c r="D130" s="7">
        <f>'PG MONTHLY DATA'!I130</f>
        <v>0</v>
      </c>
      <c r="E130" s="6">
        <f>'PG MONTHLY DATA'!J130</f>
        <v>0</v>
      </c>
      <c r="F130" s="7">
        <f>'PG MONTHLY DATA'!V130</f>
        <v>0.36</v>
      </c>
      <c r="G130" s="6">
        <f t="shared" ref="G130:G145" si="8">F130/100</f>
        <v>3.5999999999999999E-3</v>
      </c>
      <c r="H130" s="7">
        <f>'PG MONTHLY DATA'!W130</f>
        <v>-0.35</v>
      </c>
      <c r="I130" s="6">
        <f t="shared" ref="I130:I145" si="9">H130/100</f>
        <v>-3.4999999999999996E-3</v>
      </c>
    </row>
    <row r="131" spans="1:9" ht="15" customHeight="1" x14ac:dyDescent="0.35">
      <c r="A131" s="3">
        <f>'PG MONTHLY DATA'!A131</f>
        <v>41670</v>
      </c>
      <c r="B131" s="13">
        <f>'PG MONTHLY DATA'!K131</f>
        <v>-5.8837980592064763E-2</v>
      </c>
      <c r="C131" s="6">
        <f>'PG MONTHLY DATA'!H131</f>
        <v>-3.32E-2</v>
      </c>
      <c r="D131" s="7">
        <f>'PG MONTHLY DATA'!I131</f>
        <v>0</v>
      </c>
      <c r="E131" s="6">
        <f>'PG MONTHLY DATA'!J131</f>
        <v>0</v>
      </c>
      <c r="F131" s="7">
        <f>'PG MONTHLY DATA'!V131</f>
        <v>0.93</v>
      </c>
      <c r="G131" s="6">
        <f t="shared" si="8"/>
        <v>9.300000000000001E-3</v>
      </c>
      <c r="H131" s="7">
        <f>'PG MONTHLY DATA'!W131</f>
        <v>-1.99</v>
      </c>
      <c r="I131" s="6">
        <f t="shared" si="9"/>
        <v>-1.9900000000000001E-2</v>
      </c>
    </row>
    <row r="132" spans="1:9" ht="15" customHeight="1" x14ac:dyDescent="0.35">
      <c r="A132" s="3">
        <f>'PG MONTHLY DATA'!A132</f>
        <v>41639</v>
      </c>
      <c r="B132" s="13">
        <f>'PG MONTHLY DATA'!K132</f>
        <v>-3.3364996437900765E-2</v>
      </c>
      <c r="C132" s="6">
        <f>'PG MONTHLY DATA'!H132</f>
        <v>2.81E-2</v>
      </c>
      <c r="D132" s="7">
        <f>'PG MONTHLY DATA'!I132</f>
        <v>0</v>
      </c>
      <c r="E132" s="6">
        <f>'PG MONTHLY DATA'!J132</f>
        <v>0</v>
      </c>
      <c r="F132" s="7">
        <f>'PG MONTHLY DATA'!V132</f>
        <v>-0.44</v>
      </c>
      <c r="G132" s="6">
        <f t="shared" si="8"/>
        <v>-4.4000000000000003E-3</v>
      </c>
      <c r="H132" s="7">
        <f>'PG MONTHLY DATA'!W132</f>
        <v>0</v>
      </c>
      <c r="I132" s="6">
        <f t="shared" si="9"/>
        <v>0</v>
      </c>
    </row>
    <row r="133" spans="1:9" ht="15" customHeight="1" x14ac:dyDescent="0.35">
      <c r="A133" s="3">
        <f>'PG MONTHLY DATA'!A133</f>
        <v>41608</v>
      </c>
      <c r="B133" s="13">
        <f>'PG MONTHLY DATA'!K133</f>
        <v>4.2972136222910205E-2</v>
      </c>
      <c r="C133" s="6">
        <f>'PG MONTHLY DATA'!H133</f>
        <v>3.1099999999999999E-2</v>
      </c>
      <c r="D133" s="7">
        <f>'PG MONTHLY DATA'!I133</f>
        <v>0</v>
      </c>
      <c r="E133" s="6">
        <f>'PG MONTHLY DATA'!J133</f>
        <v>0</v>
      </c>
      <c r="F133" s="7">
        <f>'PG MONTHLY DATA'!V133</f>
        <v>1.31</v>
      </c>
      <c r="G133" s="6">
        <f t="shared" si="8"/>
        <v>1.3100000000000001E-2</v>
      </c>
      <c r="H133" s="7">
        <f>'PG MONTHLY DATA'!W133</f>
        <v>0.19</v>
      </c>
      <c r="I133" s="6">
        <f t="shared" si="9"/>
        <v>1.9E-3</v>
      </c>
    </row>
    <row r="134" spans="1:9" ht="15" customHeight="1" x14ac:dyDescent="0.35">
      <c r="A134" s="3">
        <f>'PG MONTHLY DATA'!A134</f>
        <v>41578</v>
      </c>
      <c r="B134" s="13">
        <f>'PG MONTHLY DATA'!K134</f>
        <v>6.826299775102522E-2</v>
      </c>
      <c r="C134" s="6">
        <f>'PG MONTHLY DATA'!H134</f>
        <v>4.1700000000000001E-2</v>
      </c>
      <c r="D134" s="7">
        <f>'PG MONTHLY DATA'!I134</f>
        <v>0</v>
      </c>
      <c r="E134" s="6">
        <f>'PG MONTHLY DATA'!J134</f>
        <v>0</v>
      </c>
      <c r="F134" s="7">
        <f>'PG MONTHLY DATA'!V134</f>
        <v>-1.56</v>
      </c>
      <c r="G134" s="6">
        <f t="shared" si="8"/>
        <v>-1.5600000000000001E-2</v>
      </c>
      <c r="H134" s="7">
        <f>'PG MONTHLY DATA'!W134</f>
        <v>1.22</v>
      </c>
      <c r="I134" s="6">
        <f t="shared" si="9"/>
        <v>1.2199999999999999E-2</v>
      </c>
    </row>
    <row r="135" spans="1:9" ht="15" customHeight="1" x14ac:dyDescent="0.35">
      <c r="A135" s="3">
        <f>'PG MONTHLY DATA'!A135</f>
        <v>41547</v>
      </c>
      <c r="B135" s="13">
        <f>'PG MONTHLY DATA'!K135</f>
        <v>-2.9528822698677584E-2</v>
      </c>
      <c r="C135" s="6">
        <f>'PG MONTHLY DATA'!H135</f>
        <v>3.7699999999999997E-2</v>
      </c>
      <c r="D135" s="7">
        <f>'PG MONTHLY DATA'!I135</f>
        <v>0</v>
      </c>
      <c r="E135" s="6">
        <f>'PG MONTHLY DATA'!J135</f>
        <v>0</v>
      </c>
      <c r="F135" s="7">
        <f>'PG MONTHLY DATA'!V135</f>
        <v>2.89</v>
      </c>
      <c r="G135" s="6">
        <f t="shared" si="8"/>
        <v>2.8900000000000002E-2</v>
      </c>
      <c r="H135" s="7">
        <f>'PG MONTHLY DATA'!W135</f>
        <v>-1.18</v>
      </c>
      <c r="I135" s="6">
        <f t="shared" si="9"/>
        <v>-1.18E-2</v>
      </c>
    </row>
    <row r="136" spans="1:9" ht="15" customHeight="1" x14ac:dyDescent="0.35">
      <c r="A136" s="3">
        <f>'PG MONTHLY DATA'!A136</f>
        <v>41517</v>
      </c>
      <c r="B136" s="13">
        <f>'PG MONTHLY DATA'!K136</f>
        <v>-3.0012453300124493E-2</v>
      </c>
      <c r="C136" s="6">
        <f>'PG MONTHLY DATA'!H136</f>
        <v>-2.7099999999999999E-2</v>
      </c>
      <c r="D136" s="7">
        <f>'PG MONTHLY DATA'!I136</f>
        <v>0</v>
      </c>
      <c r="E136" s="6">
        <f>'PG MONTHLY DATA'!J136</f>
        <v>0</v>
      </c>
      <c r="F136" s="7">
        <f>'PG MONTHLY DATA'!V136</f>
        <v>0.32</v>
      </c>
      <c r="G136" s="6">
        <f t="shared" si="8"/>
        <v>3.2000000000000002E-3</v>
      </c>
      <c r="H136" s="7">
        <f>'PG MONTHLY DATA'!W136</f>
        <v>-2.73</v>
      </c>
      <c r="I136" s="6">
        <f t="shared" si="9"/>
        <v>-2.7300000000000001E-2</v>
      </c>
    </row>
    <row r="137" spans="1:9" ht="15" customHeight="1" x14ac:dyDescent="0.35">
      <c r="A137" s="3">
        <f>'PG MONTHLY DATA'!A137</f>
        <v>41486</v>
      </c>
      <c r="B137" s="13">
        <f>'PG MONTHLY DATA'!K137</f>
        <v>4.2992596441096279E-2</v>
      </c>
      <c r="C137" s="6">
        <f>'PG MONTHLY DATA'!H137</f>
        <v>5.6500000000000002E-2</v>
      </c>
      <c r="D137" s="7">
        <f>'PG MONTHLY DATA'!I137</f>
        <v>0</v>
      </c>
      <c r="E137" s="6">
        <f>'PG MONTHLY DATA'!J137</f>
        <v>0</v>
      </c>
      <c r="F137" s="7">
        <f>'PG MONTHLY DATA'!V137</f>
        <v>1.81</v>
      </c>
      <c r="G137" s="6">
        <f t="shared" si="8"/>
        <v>1.8100000000000002E-2</v>
      </c>
      <c r="H137" s="7">
        <f>'PG MONTHLY DATA'!W137</f>
        <v>0.57999999999999996</v>
      </c>
      <c r="I137" s="6">
        <f t="shared" si="9"/>
        <v>5.7999999999999996E-3</v>
      </c>
    </row>
    <row r="138" spans="1:9" ht="15" customHeight="1" x14ac:dyDescent="0.35">
      <c r="A138" s="3">
        <f>'PG MONTHLY DATA'!A138</f>
        <v>41455</v>
      </c>
      <c r="B138" s="13">
        <f>'PG MONTHLY DATA'!K138</f>
        <v>2.9963522668054942E-3</v>
      </c>
      <c r="C138" s="6">
        <f>'PG MONTHLY DATA'!H138</f>
        <v>-1.2E-2</v>
      </c>
      <c r="D138" s="7">
        <f>'PG MONTHLY DATA'!I138</f>
        <v>0</v>
      </c>
      <c r="E138" s="6">
        <f>'PG MONTHLY DATA'!J138</f>
        <v>0</v>
      </c>
      <c r="F138" s="7">
        <f>'PG MONTHLY DATA'!V138</f>
        <v>1.31</v>
      </c>
      <c r="G138" s="6">
        <f t="shared" si="8"/>
        <v>1.3100000000000001E-2</v>
      </c>
      <c r="H138" s="7">
        <f>'PG MONTHLY DATA'!W138</f>
        <v>-0.05</v>
      </c>
      <c r="I138" s="6">
        <f t="shared" si="9"/>
        <v>-5.0000000000000001E-4</v>
      </c>
    </row>
    <row r="139" spans="1:9" ht="15" customHeight="1" x14ac:dyDescent="0.35">
      <c r="A139" s="3">
        <f>'PG MONTHLY DATA'!A139</f>
        <v>41425</v>
      </c>
      <c r="B139" s="13">
        <f>'PG MONTHLY DATA'!K139</f>
        <v>-1.3025921583940218E-4</v>
      </c>
      <c r="C139" s="6">
        <f>'PG MONTHLY DATA'!H139</f>
        <v>2.7999999999999997E-2</v>
      </c>
      <c r="D139" s="7">
        <f>'PG MONTHLY DATA'!I139</f>
        <v>0</v>
      </c>
      <c r="E139" s="6">
        <f>'PG MONTHLY DATA'!J139</f>
        <v>0</v>
      </c>
      <c r="F139" s="7">
        <f>'PG MONTHLY DATA'!V139</f>
        <v>1.7</v>
      </c>
      <c r="G139" s="6">
        <f t="shared" si="8"/>
        <v>1.7000000000000001E-2</v>
      </c>
      <c r="H139" s="7">
        <f>'PG MONTHLY DATA'!W139</f>
        <v>2.67</v>
      </c>
      <c r="I139" s="6">
        <f t="shared" si="9"/>
        <v>2.6699999999999998E-2</v>
      </c>
    </row>
    <row r="140" spans="1:9" ht="15" customHeight="1" x14ac:dyDescent="0.35">
      <c r="A140" s="3">
        <f>'PG MONTHLY DATA'!A140</f>
        <v>41394</v>
      </c>
      <c r="B140" s="13">
        <f>'PG MONTHLY DATA'!K140</f>
        <v>-3.763301323643995E-3</v>
      </c>
      <c r="C140" s="6">
        <f>'PG MONTHLY DATA'!H140</f>
        <v>1.5600000000000001E-2</v>
      </c>
      <c r="D140" s="7">
        <f>'PG MONTHLY DATA'!I140</f>
        <v>0</v>
      </c>
      <c r="E140" s="6">
        <f>'PG MONTHLY DATA'!J140</f>
        <v>0</v>
      </c>
      <c r="F140" s="7">
        <f>'PG MONTHLY DATA'!V140</f>
        <v>-2.37</v>
      </c>
      <c r="G140" s="6">
        <f t="shared" si="8"/>
        <v>-2.3700000000000002E-2</v>
      </c>
      <c r="H140" s="7">
        <f>'PG MONTHLY DATA'!W140</f>
        <v>0.44</v>
      </c>
      <c r="I140" s="6">
        <f t="shared" si="9"/>
        <v>4.4000000000000003E-3</v>
      </c>
    </row>
    <row r="141" spans="1:9" ht="15" customHeight="1" x14ac:dyDescent="0.35">
      <c r="A141" s="3">
        <f>'PG MONTHLY DATA'!A141</f>
        <v>41364</v>
      </c>
      <c r="B141" s="13">
        <f>'PG MONTHLY DATA'!K141</f>
        <v>1.1551588343397156E-2</v>
      </c>
      <c r="C141" s="6">
        <f>'PG MONTHLY DATA'!H141</f>
        <v>4.0399999999999998E-2</v>
      </c>
      <c r="D141" s="7">
        <f>'PG MONTHLY DATA'!I141</f>
        <v>0</v>
      </c>
      <c r="E141" s="6">
        <f>'PG MONTHLY DATA'!J141</f>
        <v>0</v>
      </c>
      <c r="F141" s="7">
        <f>'PG MONTHLY DATA'!V141</f>
        <v>0.83</v>
      </c>
      <c r="G141" s="6">
        <f t="shared" si="8"/>
        <v>8.3000000000000001E-3</v>
      </c>
      <c r="H141" s="7">
        <f>'PG MONTHLY DATA'!W141</f>
        <v>-0.22</v>
      </c>
      <c r="I141" s="6">
        <f t="shared" si="9"/>
        <v>-2.2000000000000001E-3</v>
      </c>
    </row>
    <row r="142" spans="1:9" ht="15" customHeight="1" x14ac:dyDescent="0.35">
      <c r="A142" s="3">
        <f>'PG MONTHLY DATA'!A142</f>
        <v>41333</v>
      </c>
      <c r="B142" s="13">
        <f>'PG MONTHLY DATA'!K142</f>
        <v>1.3571048430016103E-2</v>
      </c>
      <c r="C142" s="6">
        <f>'PG MONTHLY DATA'!H142</f>
        <v>1.2800000000000001E-2</v>
      </c>
      <c r="D142" s="7">
        <f>'PG MONTHLY DATA'!I142</f>
        <v>0</v>
      </c>
      <c r="E142" s="6">
        <f>'PG MONTHLY DATA'!J142</f>
        <v>0</v>
      </c>
      <c r="F142" s="7">
        <f>'PG MONTHLY DATA'!V142</f>
        <v>-0.3</v>
      </c>
      <c r="G142" s="6">
        <f t="shared" si="8"/>
        <v>-3.0000000000000001E-3</v>
      </c>
      <c r="H142" s="7">
        <f>'PG MONTHLY DATA'!W142</f>
        <v>0.21</v>
      </c>
      <c r="I142" s="6">
        <f t="shared" si="9"/>
        <v>2.0999999999999999E-3</v>
      </c>
    </row>
    <row r="143" spans="1:9" ht="15" customHeight="1" x14ac:dyDescent="0.35">
      <c r="A143" s="3">
        <f>'PG MONTHLY DATA'!A143</f>
        <v>41305</v>
      </c>
      <c r="B143" s="13">
        <f>'PG MONTHLY DATA'!K143</f>
        <v>0.10708499042568856</v>
      </c>
      <c r="C143" s="6">
        <f>'PG MONTHLY DATA'!H143</f>
        <v>5.57E-2</v>
      </c>
      <c r="D143" s="7">
        <f>'PG MONTHLY DATA'!I143</f>
        <v>0</v>
      </c>
      <c r="E143" s="6">
        <f>'PG MONTHLY DATA'!J143</f>
        <v>0</v>
      </c>
      <c r="F143" s="7">
        <f>'PG MONTHLY DATA'!V143</f>
        <v>0.28999999999999998</v>
      </c>
      <c r="G143" s="6">
        <f t="shared" si="8"/>
        <v>2.8999999999999998E-3</v>
      </c>
      <c r="H143" s="7">
        <f>'PG MONTHLY DATA'!W143</f>
        <v>1.01</v>
      </c>
      <c r="I143" s="6">
        <f t="shared" si="9"/>
        <v>1.01E-2</v>
      </c>
    </row>
    <row r="144" spans="1:9" ht="15" customHeight="1" x14ac:dyDescent="0.35">
      <c r="A144" s="3">
        <f>'PG MONTHLY DATA'!A144</f>
        <v>41274</v>
      </c>
      <c r="B144" s="13">
        <f>'PG MONTHLY DATA'!K144</f>
        <v>-2.7881755692395788E-2</v>
      </c>
      <c r="C144" s="6">
        <f>'PG MONTHLY DATA'!H144</f>
        <v>1.18E-2</v>
      </c>
      <c r="D144" s="7">
        <f>'PG MONTHLY DATA'!I144</f>
        <v>0.01</v>
      </c>
      <c r="E144" s="6">
        <f>'PG MONTHLY DATA'!J144</f>
        <v>1E-4</v>
      </c>
      <c r="F144" s="7">
        <f>'PG MONTHLY DATA'!V144</f>
        <v>1.5</v>
      </c>
      <c r="G144" s="6">
        <f t="shared" si="8"/>
        <v>1.4999999999999999E-2</v>
      </c>
      <c r="H144" s="7">
        <f>'PG MONTHLY DATA'!W144</f>
        <v>3.48</v>
      </c>
      <c r="I144" s="6">
        <f t="shared" si="9"/>
        <v>3.4799999999999998E-2</v>
      </c>
    </row>
    <row r="145" spans="1:9" ht="15" customHeight="1" x14ac:dyDescent="0.35">
      <c r="A145" s="3">
        <f>'PG MONTHLY DATA'!A145</f>
        <v>41243</v>
      </c>
      <c r="B145" s="13">
        <f>'PG MONTHLY DATA'!K145</f>
        <v>8.4210860774119514E-3</v>
      </c>
      <c r="C145" s="6">
        <f>'PG MONTHLY DATA'!H145</f>
        <v>7.8000000000000005E-3</v>
      </c>
      <c r="D145" s="7">
        <f>'PG MONTHLY DATA'!I145</f>
        <v>0.01</v>
      </c>
      <c r="E145" s="6">
        <f>'PG MONTHLY DATA'!J145</f>
        <v>1E-4</v>
      </c>
      <c r="F145" s="7">
        <f>'PG MONTHLY DATA'!V145</f>
        <v>0.6</v>
      </c>
      <c r="G145" s="6">
        <f t="shared" si="8"/>
        <v>6.0000000000000001E-3</v>
      </c>
      <c r="H145" s="7">
        <f>'PG MONTHLY DATA'!W145</f>
        <v>-0.86</v>
      </c>
      <c r="I145" s="6">
        <f t="shared" si="9"/>
        <v>-8.6E-3</v>
      </c>
    </row>
  </sheetData>
  <mergeCells count="4">
    <mergeCell ref="K1:L1"/>
    <mergeCell ref="K14:L14"/>
    <mergeCell ref="K8:L8"/>
    <mergeCell ref="K21:L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topLeftCell="A2" zoomScaleNormal="100" workbookViewId="0">
      <selection activeCell="D17" sqref="D17"/>
    </sheetView>
  </sheetViews>
  <sheetFormatPr defaultColWidth="8.6328125" defaultRowHeight="14.5" x14ac:dyDescent="0.35"/>
  <cols>
    <col min="1" max="1" width="26" customWidth="1"/>
    <col min="2" max="4" width="18" customWidth="1"/>
    <col min="5" max="5" width="18.453125" bestFit="1" customWidth="1"/>
    <col min="6" max="9" width="18" customWidth="1"/>
  </cols>
  <sheetData>
    <row r="1" spans="1:9" ht="15" customHeight="1" x14ac:dyDescent="0.35">
      <c r="A1" s="2" t="s">
        <v>62</v>
      </c>
    </row>
    <row r="2" spans="1:9" ht="15" customHeight="1" x14ac:dyDescent="0.35">
      <c r="A2" s="11" t="s">
        <v>63</v>
      </c>
    </row>
    <row r="3" spans="1:9" ht="15" customHeight="1" x14ac:dyDescent="0.35">
      <c r="A3" s="9" t="s">
        <v>64</v>
      </c>
      <c r="B3" s="13">
        <v>0.36405514113135601</v>
      </c>
    </row>
    <row r="4" spans="1:9" ht="15" customHeight="1" x14ac:dyDescent="0.35">
      <c r="A4" s="9" t="s">
        <v>65</v>
      </c>
      <c r="B4" s="13">
        <v>0.132536145784172</v>
      </c>
    </row>
    <row r="5" spans="1:9" ht="15" customHeight="1" x14ac:dyDescent="0.35">
      <c r="A5" s="9" t="s">
        <v>66</v>
      </c>
      <c r="B5" s="13">
        <v>0.12642724540236999</v>
      </c>
    </row>
    <row r="6" spans="1:9" ht="15" customHeight="1" x14ac:dyDescent="0.35">
      <c r="A6" s="9" t="s">
        <v>67</v>
      </c>
      <c r="B6" s="13">
        <v>4.1460956078718102E-2</v>
      </c>
    </row>
    <row r="7" spans="1:9" ht="15" customHeight="1" x14ac:dyDescent="0.35">
      <c r="A7" s="9" t="s">
        <v>68</v>
      </c>
      <c r="B7" s="12">
        <v>144</v>
      </c>
    </row>
    <row r="9" spans="1:9" ht="15" customHeight="1" x14ac:dyDescent="0.35">
      <c r="A9" s="11" t="s">
        <v>69</v>
      </c>
    </row>
    <row r="10" spans="1:9" ht="15" customHeight="1" x14ac:dyDescent="0.35">
      <c r="A10" s="1"/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</row>
    <row r="11" spans="1:9" ht="15" customHeight="1" x14ac:dyDescent="0.35">
      <c r="A11" s="9" t="s">
        <v>75</v>
      </c>
      <c r="B11" s="12">
        <v>1</v>
      </c>
      <c r="C11" s="13">
        <v>3.7294940532556699E-2</v>
      </c>
      <c r="D11" s="13">
        <v>3.7294940532556699E-2</v>
      </c>
      <c r="E11" s="13">
        <v>21.695581446866701</v>
      </c>
      <c r="F11" s="13">
        <v>7.2745791570571996E-6</v>
      </c>
    </row>
    <row r="12" spans="1:9" ht="15" customHeight="1" x14ac:dyDescent="0.35">
      <c r="A12" s="9" t="s">
        <v>76</v>
      </c>
      <c r="B12" s="12">
        <v>142</v>
      </c>
      <c r="C12" s="13">
        <v>0.244099544812517</v>
      </c>
      <c r="D12" s="13">
        <v>1.71901087896139E-3</v>
      </c>
      <c r="E12" s="13"/>
      <c r="F12" s="13"/>
    </row>
    <row r="13" spans="1:9" ht="15" customHeight="1" x14ac:dyDescent="0.35">
      <c r="A13" s="9" t="s">
        <v>77</v>
      </c>
      <c r="B13" s="12">
        <v>143</v>
      </c>
      <c r="C13" s="13">
        <v>0.281394485345074</v>
      </c>
      <c r="D13" s="13"/>
      <c r="E13" s="13"/>
      <c r="F13" s="13"/>
    </row>
    <row r="15" spans="1:9" ht="15" customHeight="1" x14ac:dyDescent="0.35">
      <c r="A15" s="1"/>
      <c r="B15" s="1" t="s">
        <v>78</v>
      </c>
      <c r="C15" s="1" t="s">
        <v>67</v>
      </c>
      <c r="D15" s="1" t="s">
        <v>79</v>
      </c>
      <c r="E15" s="1" t="s">
        <v>80</v>
      </c>
      <c r="F15" s="1" t="s">
        <v>81</v>
      </c>
      <c r="G15" s="1" t="s">
        <v>82</v>
      </c>
      <c r="H15" s="1" t="s">
        <v>83</v>
      </c>
      <c r="I15" s="1" t="s">
        <v>84</v>
      </c>
    </row>
    <row r="16" spans="1:9" ht="15" customHeight="1" x14ac:dyDescent="0.35">
      <c r="A16" s="9" t="s">
        <v>85</v>
      </c>
      <c r="B16" s="13">
        <v>1.7670223627880401E-3</v>
      </c>
      <c r="C16" s="13">
        <v>3.5682473066074301E-3</v>
      </c>
      <c r="D16" s="13">
        <v>0.49520736960019401</v>
      </c>
      <c r="E16" s="13">
        <v>0.621219175377699</v>
      </c>
      <c r="F16" s="13">
        <v>-5.2867281409143697E-3</v>
      </c>
      <c r="G16" s="13">
        <v>8.8207728664904603E-3</v>
      </c>
      <c r="H16" s="13">
        <v>-5.2867281409143697E-3</v>
      </c>
      <c r="I16" s="13">
        <v>8.8207728664904603E-3</v>
      </c>
    </row>
    <row r="17" spans="1:9" ht="15" customHeight="1" x14ac:dyDescent="0.35">
      <c r="A17" s="9" t="s">
        <v>86</v>
      </c>
      <c r="B17" s="13">
        <v>0.37658026021590701</v>
      </c>
      <c r="C17" s="13">
        <v>8.0848488371069005E-2</v>
      </c>
      <c r="D17" s="13">
        <v>4.6578515913312097</v>
      </c>
      <c r="E17" s="13">
        <v>7.2745791570571996E-6</v>
      </c>
      <c r="F17" s="13">
        <v>0.21675807958537899</v>
      </c>
      <c r="G17" s="13">
        <v>0.53640244084643496</v>
      </c>
      <c r="H17" s="13">
        <v>0.21675807958537899</v>
      </c>
      <c r="I17" s="13">
        <v>0.53640244084643496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tabSelected="1" topLeftCell="A4" zoomScaleNormal="100" workbookViewId="0">
      <selection activeCell="A8" sqref="A8"/>
    </sheetView>
  </sheetViews>
  <sheetFormatPr defaultColWidth="8.6328125" defaultRowHeight="14.5" x14ac:dyDescent="0.35"/>
  <cols>
    <col min="1" max="1" width="26" customWidth="1"/>
    <col min="2" max="4" width="18" customWidth="1"/>
    <col min="5" max="5" width="18.453125" bestFit="1" customWidth="1"/>
    <col min="6" max="9" width="18" customWidth="1"/>
  </cols>
  <sheetData>
    <row r="1" spans="1:9" ht="15" customHeight="1" x14ac:dyDescent="0.35">
      <c r="A1" s="2" t="s">
        <v>62</v>
      </c>
    </row>
    <row r="2" spans="1:9" ht="15" customHeight="1" x14ac:dyDescent="0.35">
      <c r="A2" s="11" t="s">
        <v>63</v>
      </c>
    </row>
    <row r="3" spans="1:9" ht="15" customHeight="1" x14ac:dyDescent="0.35">
      <c r="A3" s="9" t="s">
        <v>64</v>
      </c>
      <c r="B3" s="13">
        <v>0.53483813337156305</v>
      </c>
    </row>
    <row r="4" spans="1:9" ht="15" customHeight="1" x14ac:dyDescent="0.35">
      <c r="A4" s="9" t="s">
        <v>65</v>
      </c>
      <c r="B4" s="13">
        <v>0.28605182890837799</v>
      </c>
    </row>
    <row r="5" spans="1:9" ht="15" customHeight="1" x14ac:dyDescent="0.35">
      <c r="A5" s="9" t="s">
        <v>66</v>
      </c>
      <c r="B5" s="13">
        <v>0.27075293952784302</v>
      </c>
    </row>
    <row r="6" spans="1:9" ht="15" customHeight="1" x14ac:dyDescent="0.35">
      <c r="A6" s="9" t="s">
        <v>67</v>
      </c>
      <c r="B6" s="13">
        <v>3.7881495498404E-2</v>
      </c>
    </row>
    <row r="7" spans="1:9" ht="15" customHeight="1" x14ac:dyDescent="0.35">
      <c r="A7" s="9" t="s">
        <v>68</v>
      </c>
      <c r="B7" s="12">
        <v>144</v>
      </c>
    </row>
    <row r="9" spans="1:9" ht="15" customHeight="1" x14ac:dyDescent="0.35">
      <c r="A9" s="11" t="s">
        <v>69</v>
      </c>
    </row>
    <row r="10" spans="1:9" ht="15" customHeight="1" x14ac:dyDescent="0.35">
      <c r="A10" s="1"/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</row>
    <row r="11" spans="1:9" ht="15" customHeight="1" x14ac:dyDescent="0.35">
      <c r="A11" s="9" t="s">
        <v>75</v>
      </c>
      <c r="B11" s="12">
        <v>3</v>
      </c>
      <c r="C11" s="13">
        <v>8.0493407177690199E-2</v>
      </c>
      <c r="D11" s="13">
        <v>2.68311357258968E-2</v>
      </c>
      <c r="E11" s="13">
        <v>18.697555214192899</v>
      </c>
      <c r="F11" s="13">
        <v>2.9488533836996598E-10</v>
      </c>
    </row>
    <row r="12" spans="1:9" ht="15" customHeight="1" x14ac:dyDescent="0.35">
      <c r="A12" s="9" t="s">
        <v>76</v>
      </c>
      <c r="B12" s="12">
        <v>140</v>
      </c>
      <c r="C12" s="13">
        <v>0.20090107816738401</v>
      </c>
      <c r="D12" s="13">
        <v>1.4350077011955999E-3</v>
      </c>
      <c r="E12" s="13"/>
      <c r="F12" s="13"/>
    </row>
    <row r="13" spans="1:9" ht="15" customHeight="1" x14ac:dyDescent="0.35">
      <c r="A13" s="9" t="s">
        <v>77</v>
      </c>
      <c r="B13" s="12">
        <v>143</v>
      </c>
      <c r="C13" s="13">
        <v>0.281394485345074</v>
      </c>
      <c r="D13" s="13"/>
      <c r="E13" s="13"/>
      <c r="F13" s="13"/>
    </row>
    <row r="15" spans="1:9" ht="15" customHeight="1" x14ac:dyDescent="0.35">
      <c r="A15" s="1"/>
      <c r="B15" s="1" t="s">
        <v>78</v>
      </c>
      <c r="C15" s="1" t="s">
        <v>67</v>
      </c>
      <c r="D15" s="1" t="s">
        <v>79</v>
      </c>
      <c r="E15" s="1" t="s">
        <v>80</v>
      </c>
      <c r="F15" s="1" t="s">
        <v>81</v>
      </c>
      <c r="G15" s="1" t="s">
        <v>82</v>
      </c>
      <c r="H15" s="1" t="s">
        <v>83</v>
      </c>
      <c r="I15" s="1" t="s">
        <v>84</v>
      </c>
    </row>
    <row r="16" spans="1:9" ht="15" customHeight="1" x14ac:dyDescent="0.35">
      <c r="A16" s="9" t="s">
        <v>85</v>
      </c>
      <c r="B16" s="13">
        <v>-2.2048177377568799E-4</v>
      </c>
      <c r="C16" s="13">
        <v>3.2835040945589202E-3</v>
      </c>
      <c r="D16" s="13">
        <v>-6.7148316988867807E-2</v>
      </c>
      <c r="E16" s="13">
        <v>0.94655943010501498</v>
      </c>
      <c r="F16" s="13">
        <v>-6.7121457574327199E-3</v>
      </c>
      <c r="G16" s="13">
        <v>6.2711822098813399E-3</v>
      </c>
      <c r="H16" s="13">
        <v>-6.7121457574327199E-3</v>
      </c>
      <c r="I16" s="13">
        <v>6.2711822098813399E-3</v>
      </c>
    </row>
    <row r="17" spans="1:9" ht="15" customHeight="1" x14ac:dyDescent="0.35">
      <c r="A17" s="9" t="s">
        <v>87</v>
      </c>
      <c r="B17" s="13">
        <v>0.49479135371287802</v>
      </c>
      <c r="C17" s="13">
        <v>7.7027073408222596E-2</v>
      </c>
      <c r="D17" s="13">
        <v>6.4236031802820603</v>
      </c>
      <c r="E17" s="13">
        <v>1.9365269388060799E-9</v>
      </c>
      <c r="F17" s="13">
        <v>0.342504691716851</v>
      </c>
      <c r="G17" s="13">
        <v>0.647078015708905</v>
      </c>
      <c r="H17" s="13">
        <v>0.342504691716851</v>
      </c>
      <c r="I17" s="13">
        <v>0.647078015708905</v>
      </c>
    </row>
    <row r="18" spans="1:9" ht="15" customHeight="1" x14ac:dyDescent="0.35">
      <c r="A18" s="9" t="s">
        <v>88</v>
      </c>
      <c r="B18" s="13">
        <v>-0.68087139449988598</v>
      </c>
      <c r="C18" s="13">
        <v>0.124223266059018</v>
      </c>
      <c r="D18" s="13">
        <v>-5.4810295695848898</v>
      </c>
      <c r="E18" s="13">
        <v>1.91138846528105E-7</v>
      </c>
      <c r="F18" s="13">
        <v>-0.926467464729821</v>
      </c>
      <c r="G18" s="13">
        <v>-0.43527532426995202</v>
      </c>
      <c r="H18" s="13">
        <v>-0.926467464729821</v>
      </c>
      <c r="I18" s="13">
        <v>-0.43527532426995202</v>
      </c>
    </row>
    <row r="19" spans="1:9" ht="15" customHeight="1" x14ac:dyDescent="0.35">
      <c r="A19" s="9" t="s">
        <v>89</v>
      </c>
      <c r="B19" s="13">
        <v>6.7553287856455299E-2</v>
      </c>
      <c r="C19" s="13">
        <v>9.0227752765576902E-2</v>
      </c>
      <c r="D19" s="13">
        <v>0.74869744381163195</v>
      </c>
      <c r="E19" s="13">
        <v>0.455295593295372</v>
      </c>
      <c r="F19" s="13">
        <v>-0.11083182636503</v>
      </c>
      <c r="G19" s="13">
        <v>0.24593840207793999</v>
      </c>
      <c r="H19" s="13">
        <v>-0.11083182636503</v>
      </c>
      <c r="I19" s="13">
        <v>0.24593840207793999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PG DAILY DATA</vt:lpstr>
      <vt:lpstr>PG MONTHLY DATA</vt:lpstr>
      <vt:lpstr>QUESTIONS 8-10</vt:lpstr>
      <vt:lpstr>CAPM Regression Output</vt:lpstr>
      <vt:lpstr>FF3 Regression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Domenico Nigro</cp:lastModifiedBy>
  <cp:revision>0</cp:revision>
  <dcterms:created xsi:type="dcterms:W3CDTF">2026-04-24T20:16:01Z</dcterms:created>
  <dcterms:modified xsi:type="dcterms:W3CDTF">2026-04-25T22:13:49Z</dcterms:modified>
  <dc:language>en-US</dc:language>
</cp:coreProperties>
</file>